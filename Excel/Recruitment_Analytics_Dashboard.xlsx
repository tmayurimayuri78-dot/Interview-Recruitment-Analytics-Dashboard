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tmayu\OneDrive\Desktop\Interview Recruitment Analytics\Excel\"/>
    </mc:Choice>
  </mc:AlternateContent>
  <xr:revisionPtr revIDLastSave="0" documentId="8_{BBD45556-8796-46BD-ACEC-70AAC6A6049D}" xr6:coauthVersionLast="47" xr6:coauthVersionMax="47" xr10:uidLastSave="{00000000-0000-0000-0000-000000000000}"/>
  <bookViews>
    <workbookView xWindow="-108" yWindow="-108" windowWidth="23256" windowHeight="12456" firstSheet="3" activeTab="6" xr2:uid="{6DEF227B-908D-4B7F-8046-BB349180DEFD}"/>
  </bookViews>
  <sheets>
    <sheet name="job_details" sheetId="9" r:id="rId1"/>
    <sheet name="candidate_details" sheetId="10" r:id="rId2"/>
    <sheet name="Sheet4" sheetId="21" r:id="rId3"/>
    <sheet name="Merged_Data" sheetId="18" r:id="rId4"/>
    <sheet name="candidate_skills" sheetId="11" r:id="rId5"/>
    <sheet name="interview_results" sheetId="12" r:id="rId6"/>
    <sheet name="Dashboard" sheetId="3" r:id="rId7"/>
    <sheet name="PT_College" sheetId="13" r:id="rId8"/>
    <sheet name="PT_JobRole" sheetId="14" r:id="rId9"/>
    <sheet name="PT_JobID" sheetId="15" r:id="rId10"/>
    <sheet name="PT_FinalResult" sheetId="16" r:id="rId11"/>
    <sheet name="PT_AvgAptitude" sheetId="17" r:id="rId12"/>
  </sheets>
  <definedNames>
    <definedName name="ExternalData_1" localSheetId="0" hidden="1">job_details!$A$1:$D$21</definedName>
    <definedName name="ExternalData_2" localSheetId="1" hidden="1">'candidate_details'!$A$1:$F$101</definedName>
    <definedName name="ExternalData_2" localSheetId="3" hidden="1">Merged_Data!$A$1:$F$101</definedName>
    <definedName name="ExternalData_3" localSheetId="4" hidden="1">'candidate_skills'!$A$1:$G$101</definedName>
    <definedName name="ExternalData_4" localSheetId="5" hidden="1">interview_results!$A$1:$E$101</definedName>
    <definedName name="Slicer_College">#N/A</definedName>
    <definedName name="Slicer_Final_Result">#N/A</definedName>
    <definedName name="Slicer_Job_Role">#N/A</definedName>
  </definedNames>
  <calcPr calcId="191029"/>
  <pivotCaches>
    <pivotCache cacheId="0" r:id="rId13"/>
    <pivotCache cacheId="1" r:id="rId14"/>
    <pivotCache cacheId="2" r:id="rId15"/>
    <pivotCache cacheId="3"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 i="18" l="1"/>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G2"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C7A6C7-F620-47C1-ACB4-7FC97AA42AFB}" keepAlive="1" name="Query - candidate_details" description="Connection to the 'candidate_details' query in the workbook." type="5" refreshedVersion="8" background="1" saveData="1">
    <dbPr connection="Provider=Microsoft.Mashup.OleDb.1;Data Source=$Workbook$;Location=candidate_details;Extended Properties=&quot;&quot;" command="SELECT * FROM [candidate_details]"/>
  </connection>
  <connection id="2" xr16:uid="{17C3D240-13FD-47B0-9555-6B87D6C48556}" keepAlive="1" name="Query - candidate_details (2)" description="Connection to the 'candidate_details (2)' query in the workbook." type="5" refreshedVersion="8" background="1" saveData="1">
    <dbPr connection="Provider=Microsoft.Mashup.OleDb.1;Data Source=$Workbook$;Location=&quot;candidate_details (2)&quot;;Extended Properties=&quot;&quot;" command="SELECT * FROM [candidate_details (2)]"/>
  </connection>
  <connection id="3" xr16:uid="{6E0BEA02-6150-4120-B8AE-3120FAC309A8}" keepAlive="1" name="Query - candidate_skills" description="Connection to the 'candidate_skills' query in the workbook." type="5" refreshedVersion="8" background="1" saveData="1">
    <dbPr connection="Provider=Microsoft.Mashup.OleDb.1;Data Source=$Workbook$;Location=candidate_skills;Extended Properties=&quot;&quot;" command="SELECT * FROM [candidate_skills]"/>
  </connection>
  <connection id="4" xr16:uid="{15236B67-EC05-4F34-A2BA-CC88C4BAE596}" keepAlive="1" name="Query - interview_results" description="Connection to the 'interview_results' query in the workbook." type="5" refreshedVersion="8" background="1" saveData="1">
    <dbPr connection="Provider=Microsoft.Mashup.OleDb.1;Data Source=$Workbook$;Location=interview_results;Extended Properties=&quot;&quot;" command="SELECT * FROM [interview_results]"/>
  </connection>
  <connection id="5" xr16:uid="{F0D59BDE-A429-43EF-9C73-794955AAF6C2}" keepAlive="1" name="Query - job_details" description="Connection to the 'job_details' query in the workbook." type="5" refreshedVersion="8" background="1" saveData="1">
    <dbPr connection="Provider=Microsoft.Mashup.OleDb.1;Data Source=$Workbook$;Location=job_details;Extended Properties=&quot;&quot;" command="SELECT * FROM [job_details]"/>
  </connection>
  <connection id="6" xr16:uid="{B6DA6AC7-CE77-46D0-A4C7-A1A8600A0112}" keepAlive="1" name="Query - job_details (2)" description="Connection to the 'job_details (2)' query in the workbook." type="5" refreshedVersion="8" background="1" saveData="1">
    <dbPr connection="Provider=Microsoft.Mashup.OleDb.1;Data Source=$Workbook$;Location=&quot;job_details (2)&quot;;Extended Properties=&quot;&quot;" command="SELECT * FROM [job_details (2)]"/>
  </connection>
</connections>
</file>

<file path=xl/sharedStrings.xml><?xml version="1.0" encoding="utf-8"?>
<sst xmlns="http://schemas.openxmlformats.org/spreadsheetml/2006/main" count="856" uniqueCount="193">
  <si>
    <t>Job_ID</t>
  </si>
  <si>
    <t>Job_Role</t>
  </si>
  <si>
    <t>Department</t>
  </si>
  <si>
    <t>Location</t>
  </si>
  <si>
    <t>Data Analyst</t>
  </si>
  <si>
    <t>Analytics</t>
  </si>
  <si>
    <t>Chennai</t>
  </si>
  <si>
    <t>SQL Developer</t>
  </si>
  <si>
    <t>Database</t>
  </si>
  <si>
    <t>Bangalore</t>
  </si>
  <si>
    <t>Power BI Developer</t>
  </si>
  <si>
    <t>Business Intelligence</t>
  </si>
  <si>
    <t>Hyderabad</t>
  </si>
  <si>
    <t>Business Analyst</t>
  </si>
  <si>
    <t>Business Analysis</t>
  </si>
  <si>
    <t>Python Developer</t>
  </si>
  <si>
    <t>Software Development</t>
  </si>
  <si>
    <t>Pune</t>
  </si>
  <si>
    <t>Java Developer</t>
  </si>
  <si>
    <t>Full Stack Developer</t>
  </si>
  <si>
    <t>Web Development</t>
  </si>
  <si>
    <t>QA Engineer</t>
  </si>
  <si>
    <t>Quality Assurance</t>
  </si>
  <si>
    <t>Cloud Support Engineer</t>
  </si>
  <si>
    <t>Cloud Operations</t>
  </si>
  <si>
    <t>Noida</t>
  </si>
  <si>
    <t>AI Engineer</t>
  </si>
  <si>
    <t>Artificial Intelligence</t>
  </si>
  <si>
    <t>Data Engineer</t>
  </si>
  <si>
    <t>Data Engineering</t>
  </si>
  <si>
    <t>DevOps Engineer</t>
  </si>
  <si>
    <t>DevOps</t>
  </si>
  <si>
    <t>Network Engineer</t>
  </si>
  <si>
    <t>Infrastructure</t>
  </si>
  <si>
    <t>Mumbai</t>
  </si>
  <si>
    <t>System Administrator</t>
  </si>
  <si>
    <t>IT Operations</t>
  </si>
  <si>
    <t>UI/UX Designer</t>
  </si>
  <si>
    <t>Design</t>
  </si>
  <si>
    <t>Frontend Developer</t>
  </si>
  <si>
    <t>Backend Developer</t>
  </si>
  <si>
    <t>Cyber Security Analyst</t>
  </si>
  <si>
    <t>Cyber Security</t>
  </si>
  <si>
    <t>Machine Learning Engineer</t>
  </si>
  <si>
    <t>Technical Support Engineer</t>
  </si>
  <si>
    <t>Customer Support</t>
  </si>
  <si>
    <t>Candidate_ID</t>
  </si>
  <si>
    <t>Candidate_Name</t>
  </si>
  <si>
    <t>College</t>
  </si>
  <si>
    <t>CGPA</t>
  </si>
  <si>
    <t>Arun Kumar</t>
  </si>
  <si>
    <t>Anna University</t>
  </si>
  <si>
    <t>Priya Sharma</t>
  </si>
  <si>
    <t>SRM Institute of Science and Technology</t>
  </si>
  <si>
    <t>Karthik Raj</t>
  </si>
  <si>
    <t>SSN College of Engineering</t>
  </si>
  <si>
    <t>Divya S</t>
  </si>
  <si>
    <t>VIT Chennai</t>
  </si>
  <si>
    <t>Rahul Kumar</t>
  </si>
  <si>
    <t>PSG College of Technology</t>
  </si>
  <si>
    <t>Coimbatore</t>
  </si>
  <si>
    <t>Ananya R</t>
  </si>
  <si>
    <t>Sathyabama University</t>
  </si>
  <si>
    <t>Vignesh M</t>
  </si>
  <si>
    <t>Kumaraguru College of Technology</t>
  </si>
  <si>
    <t>Keerthana P</t>
  </si>
  <si>
    <t>Rajalakshmi Engineering College</t>
  </si>
  <si>
    <t>Sanjay K</t>
  </si>
  <si>
    <t>Loyola College</t>
  </si>
  <si>
    <t>Harini V</t>
  </si>
  <si>
    <t>Amrita University</t>
  </si>
  <si>
    <t>Ajay Prakash</t>
  </si>
  <si>
    <t>MIT Chennai</t>
  </si>
  <si>
    <t>Nithya Devi</t>
  </si>
  <si>
    <t>Hindustan Institute of Technology</t>
  </si>
  <si>
    <t>Dinesh Kumar</t>
  </si>
  <si>
    <t>Kongu Engineering College</t>
  </si>
  <si>
    <t>Erode</t>
  </si>
  <si>
    <t>Swetha R</t>
  </si>
  <si>
    <t>Saveetha Engineering College</t>
  </si>
  <si>
    <t>Vijay S</t>
  </si>
  <si>
    <t>Pooja K</t>
  </si>
  <si>
    <t>Rohit Kumar</t>
  </si>
  <si>
    <t>Meena Priya</t>
  </si>
  <si>
    <t>Surya Raj</t>
  </si>
  <si>
    <t>Kavya M</t>
  </si>
  <si>
    <t>Arun Prasad</t>
  </si>
  <si>
    <t>Priya N</t>
  </si>
  <si>
    <t>Karthik S</t>
  </si>
  <si>
    <t>Divya R</t>
  </si>
  <si>
    <t>Rahul V</t>
  </si>
  <si>
    <t>Ananya Kumar</t>
  </si>
  <si>
    <t>Vignesh Raj</t>
  </si>
  <si>
    <t>Keerthana S</t>
  </si>
  <si>
    <t>Sanjay R</t>
  </si>
  <si>
    <t>Harini K</t>
  </si>
  <si>
    <t>Ajay Kumar</t>
  </si>
  <si>
    <t>Nithya S</t>
  </si>
  <si>
    <t>Dinesh Raj</t>
  </si>
  <si>
    <t>Swetha Devi</t>
  </si>
  <si>
    <t>Vijay Kumar</t>
  </si>
  <si>
    <t>Pooja R</t>
  </si>
  <si>
    <t>Rohit S</t>
  </si>
  <si>
    <t>Meena K</t>
  </si>
  <si>
    <t>Surya Prakash</t>
  </si>
  <si>
    <t>Kavya R</t>
  </si>
  <si>
    <t>Arun Raj</t>
  </si>
  <si>
    <t>Priya Devi</t>
  </si>
  <si>
    <t>Karthik Kumar</t>
  </si>
  <si>
    <t>Divya Kumar</t>
  </si>
  <si>
    <t>Rahul Raj</t>
  </si>
  <si>
    <t>Ananya Priya</t>
  </si>
  <si>
    <t>Vignesh Kumar</t>
  </si>
  <si>
    <t>Keerthana Raj</t>
  </si>
  <si>
    <t>Sanjay Kumar</t>
  </si>
  <si>
    <t>Harini Raj</t>
  </si>
  <si>
    <t>Ajay Raj</t>
  </si>
  <si>
    <t>Nithya Kumar</t>
  </si>
  <si>
    <t>Dinesh S</t>
  </si>
  <si>
    <t>Swetha Kumar</t>
  </si>
  <si>
    <t>Vijay Raj</t>
  </si>
  <si>
    <t>Pooja Devi</t>
  </si>
  <si>
    <t>Meena S</t>
  </si>
  <si>
    <t>Surya Kumar</t>
  </si>
  <si>
    <t>Kavya Devi</t>
  </si>
  <si>
    <t>Arun Kumar S</t>
  </si>
  <si>
    <t>Priya Raj</t>
  </si>
  <si>
    <t>Karthik Devi</t>
  </si>
  <si>
    <t>Divya Priya</t>
  </si>
  <si>
    <t>Rahul S</t>
  </si>
  <si>
    <t>Ananya Devi</t>
  </si>
  <si>
    <t>Vignesh Kumar S</t>
  </si>
  <si>
    <t>Keerthana Devi</t>
  </si>
  <si>
    <t>Sanjay Prakash</t>
  </si>
  <si>
    <t>Harini S</t>
  </si>
  <si>
    <t>Ajay Kumar S</t>
  </si>
  <si>
    <t>Nithya Raj</t>
  </si>
  <si>
    <t>Dinesh Kumar S</t>
  </si>
  <si>
    <t>Swetha Priya</t>
  </si>
  <si>
    <t>Vijay Kumar S</t>
  </si>
  <si>
    <t>Pooja Kumar</t>
  </si>
  <si>
    <t>Rohit Raj</t>
  </si>
  <si>
    <t>Meena Devi</t>
  </si>
  <si>
    <t>Surya S</t>
  </si>
  <si>
    <t>Kavya Kumar</t>
  </si>
  <si>
    <t>Arun Prakash</t>
  </si>
  <si>
    <t>Priya Kumar</t>
  </si>
  <si>
    <t>Karthik Raj S</t>
  </si>
  <si>
    <t>Divya Devi</t>
  </si>
  <si>
    <t>Rahul Prakash</t>
  </si>
  <si>
    <t>Ananya S</t>
  </si>
  <si>
    <t>Vignesh Prakash</t>
  </si>
  <si>
    <t>Keerthana Kumar</t>
  </si>
  <si>
    <t>Sanjay S</t>
  </si>
  <si>
    <t>Harini Devi</t>
  </si>
  <si>
    <t>Ajay Prakash S</t>
  </si>
  <si>
    <t>Nithya Priya</t>
  </si>
  <si>
    <t>Dinesh Kumar R</t>
  </si>
  <si>
    <t>Swetha S</t>
  </si>
  <si>
    <t>Vijay Prakash</t>
  </si>
  <si>
    <t>Pooja Devi S</t>
  </si>
  <si>
    <t>Rohit Kumar S</t>
  </si>
  <si>
    <t>Meena Priya S</t>
  </si>
  <si>
    <t>Surya Raj S</t>
  </si>
  <si>
    <t>Kavya Priya</t>
  </si>
  <si>
    <t>SQL_Skills</t>
  </si>
  <si>
    <t>Python_Skills</t>
  </si>
  <si>
    <t>Excel_Skills</t>
  </si>
  <si>
    <t>PowerBi_Skills</t>
  </si>
  <si>
    <t>Communication_Skills</t>
  </si>
  <si>
    <t>ProblemSolving_Skills</t>
  </si>
  <si>
    <t>Aptitude_Score</t>
  </si>
  <si>
    <t>Technical_Score</t>
  </si>
  <si>
    <t>HR_Score</t>
  </si>
  <si>
    <t>Final_Result</t>
  </si>
  <si>
    <t>Selected</t>
  </si>
  <si>
    <t>Hold</t>
  </si>
  <si>
    <t>Rejected</t>
  </si>
  <si>
    <t>Row Labels</t>
  </si>
  <si>
    <t>Grand Total</t>
  </si>
  <si>
    <t>Count of Candidate_ID</t>
  </si>
  <si>
    <t>Count of Job_ID</t>
  </si>
  <si>
    <t>Average of Aptitude_Score</t>
  </si>
  <si>
    <t>Recruitment Analytics Dashboard</t>
  </si>
  <si>
    <r>
      <rPr>
        <b/>
        <sz val="14"/>
        <color theme="2"/>
        <rFont val="Aptos Narrow"/>
        <family val="2"/>
        <scheme val="minor"/>
      </rPr>
      <t>Selected Candidates</t>
    </r>
    <r>
      <rPr>
        <sz val="14"/>
        <color theme="2"/>
        <rFont val="Aptos Narrow"/>
        <family val="2"/>
        <scheme val="minor"/>
      </rPr>
      <t xml:space="preserve">
</t>
    </r>
    <r>
      <rPr>
        <sz val="20"/>
        <color theme="2"/>
        <rFont val="Aptos Narrow"/>
        <family val="2"/>
        <scheme val="minor"/>
      </rPr>
      <t xml:space="preserve">                63</t>
    </r>
  </si>
  <si>
    <r>
      <rPr>
        <b/>
        <sz val="14"/>
        <color theme="2"/>
        <rFont val="Aptos Narrow"/>
        <family val="2"/>
        <scheme val="minor"/>
      </rPr>
      <t>Total Candidates</t>
    </r>
    <r>
      <rPr>
        <sz val="14"/>
        <color theme="2"/>
        <rFont val="Aptos Narrow"/>
        <family val="2"/>
        <scheme val="minor"/>
      </rPr>
      <t xml:space="preserve">
</t>
    </r>
    <r>
      <rPr>
        <sz val="20"/>
        <color theme="2"/>
        <rFont val="Aptos Narrow"/>
        <family val="2"/>
        <scheme val="minor"/>
      </rPr>
      <t xml:space="preserve">            100</t>
    </r>
  </si>
  <si>
    <r>
      <rPr>
        <b/>
        <sz val="14"/>
        <color theme="2"/>
        <rFont val="Aptos Narrow"/>
        <family val="2"/>
        <scheme val="minor"/>
      </rPr>
      <t>Rejected Candidates</t>
    </r>
    <r>
      <rPr>
        <sz val="11"/>
        <color theme="2"/>
        <rFont val="Aptos Narrow"/>
        <family val="2"/>
        <scheme val="minor"/>
      </rPr>
      <t xml:space="preserve">
</t>
    </r>
    <r>
      <rPr>
        <sz val="20"/>
        <color theme="2"/>
        <rFont val="Aptos Narrow"/>
        <family val="2"/>
        <scheme val="minor"/>
      </rPr>
      <t xml:space="preserve">                22</t>
    </r>
  </si>
  <si>
    <r>
      <rPr>
        <b/>
        <sz val="14"/>
        <color theme="2"/>
        <rFont val="Aptos Narrow"/>
        <family val="2"/>
        <scheme val="minor"/>
      </rPr>
      <t>Selection Rate</t>
    </r>
    <r>
      <rPr>
        <sz val="11"/>
        <color theme="2"/>
        <rFont val="Aptos Narrow"/>
        <family val="2"/>
        <scheme val="minor"/>
      </rPr>
      <t xml:space="preserve">
</t>
    </r>
    <r>
      <rPr>
        <sz val="20"/>
        <color theme="2"/>
        <rFont val="Aptos Narrow"/>
        <family val="2"/>
        <scheme val="minor"/>
      </rPr>
      <t xml:space="preserve">            63%</t>
    </r>
  </si>
  <si>
    <t>Job_Roles</t>
  </si>
  <si>
    <t>CGPA_Range</t>
  </si>
  <si>
    <t>7-7.9</t>
  </si>
  <si>
    <t>8-8.9</t>
  </si>
  <si>
    <t>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</si>
</sst>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8"/>
      <name val="Aptos Narrow"/>
      <family val="2"/>
      <scheme val="minor"/>
    </font>
    <font>
      <sz val="14"/>
      <color theme="1"/>
      <name val="Aptos Narrow"/>
      <family val="2"/>
      <scheme val="minor"/>
    </font>
    <font>
      <sz val="20"/>
      <color theme="1"/>
      <name val="Aptos Narrow"/>
      <family val="2"/>
      <scheme val="minor"/>
    </font>
    <font>
      <sz val="11"/>
      <color theme="2"/>
      <name val="Aptos Narrow"/>
      <family val="2"/>
      <scheme val="minor"/>
    </font>
    <font>
      <sz val="20"/>
      <color theme="2"/>
      <name val="Aptos Narrow"/>
      <family val="2"/>
      <scheme val="minor"/>
    </font>
    <font>
      <sz val="14"/>
      <color theme="2"/>
      <name val="Aptos Narrow"/>
      <family val="2"/>
      <scheme val="minor"/>
    </font>
    <font>
      <b/>
      <sz val="14"/>
      <color theme="2"/>
      <name val="Aptos Narrow"/>
      <family val="2"/>
      <scheme val="minor"/>
    </font>
  </fonts>
  <fills count="4">
    <fill>
      <patternFill patternType="none"/>
    </fill>
    <fill>
      <patternFill patternType="gray125"/>
    </fill>
    <fill>
      <patternFill patternType="solid">
        <fgColor theme="3"/>
        <bgColor indexed="64"/>
      </patternFill>
    </fill>
    <fill>
      <patternFill patternType="solid">
        <fgColor theme="4"/>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2" fillId="0" borderId="0" xfId="0" applyFont="1"/>
    <xf numFmtId="0" fontId="6" fillId="3" borderId="0" xfId="0" applyFont="1" applyFill="1" applyAlignment="1">
      <alignment horizontal="left" wrapText="1"/>
    </xf>
    <xf numFmtId="0" fontId="0" fillId="3" borderId="0" xfId="0" applyFill="1" applyAlignment="1">
      <alignment horizontal="left"/>
    </xf>
    <xf numFmtId="0" fontId="3" fillId="3" borderId="0" xfId="0" applyFont="1" applyFill="1" applyAlignment="1">
      <alignment horizontal="left"/>
    </xf>
    <xf numFmtId="0" fontId="4" fillId="3" borderId="0" xfId="0" applyFont="1" applyFill="1" applyAlignment="1">
      <alignment horizontal="left" wrapText="1"/>
    </xf>
    <xf numFmtId="0" fontId="5" fillId="2" borderId="0" xfId="0" applyFont="1" applyFill="1" applyAlignment="1">
      <alignment horizontal="center"/>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[Recruitment_Analytics_Dashboard.xlsx]PT_FinalResult!PivotTable4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6.4043058451057275E-2"/>
          <c:y val="0.13945961373077212"/>
          <c:w val="0.59646611748203204"/>
          <c:h val="0.67291327100003506"/>
        </c:manualLayout>
      </c:layout>
      <c:pieChart>
        <c:varyColors val="1"/>
        <c:ser>
          <c:idx val="0"/>
          <c:order val="0"/>
          <c:tx>
            <c:strRef>
              <c:f>PT_FinalResult!$B$3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76-465B-9B42-4131DA9F6CA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676-465B-9B42-4131DA9F6CA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676-465B-9B42-4131DA9F6C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PT_FinalResult!$A$4:$A$7</c:f>
              <c:strCache>
                <c:ptCount val="3"/>
                <c:pt idx="0">
                  <c:v>Hold</c:v>
                </c:pt>
                <c:pt idx="1">
                  <c:v>Rejected</c:v>
                </c:pt>
                <c:pt idx="2">
                  <c:v>Selected</c:v>
                </c:pt>
              </c:strCache>
            </c:strRef>
          </c:cat>
          <c:val>
            <c:numRef>
              <c:f>PT_FinalResult!$B$4:$B$7</c:f>
              <c:numCache>
                <c:formatCode>General</c:formatCode>
                <c:ptCount val="3"/>
                <c:pt idx="0">
                  <c:v>17</c:v>
                </c:pt>
                <c:pt idx="1">
                  <c:v>7</c:v>
                </c:pt>
                <c:pt idx="2">
                  <c:v>76</c:v>
                </c:pt>
              </c:numCache>
            </c:numRef>
          </c:val>
          <c:extLst>
            <c:ext xmlns:c16="http://schemas.microsoft.com/office/drawing/2014/chart" uri="{C3380CC4-5D6E-409C-BE32-E72D297353CC}">
              <c16:uniqueId val="{00000006-5676-465B-9B42-4131DA9F6CA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[Recruitment_Analytics_Dashboard.xlsx]PT_College!PivotTable1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Candidates by College</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PT_College!$B$3</c:f>
              <c:strCache>
                <c:ptCount val="1"/>
                <c:pt idx="0">
                  <c:v>Total</c:v>
                </c:pt>
              </c:strCache>
            </c:strRef>
          </c:tx>
          <c:spPr>
            <a:solidFill>
              <a:schemeClr val="accent1"/>
            </a:solidFill>
            <a:ln>
              <a:noFill/>
            </a:ln>
            <a:effectLst/>
          </c:spPr>
          <c:invertIfNegative val="0"/>
          <c:cat>
            <c:strRef>
              <c:f>PT_College!$A$4:$A$18</c:f>
              <c:strCache>
                <c:ptCount val="14"/>
                <c:pt idx="0">
                  <c:v>Amrita University</c:v>
                </c:pt>
                <c:pt idx="1">
                  <c:v>Anna University</c:v>
                </c:pt>
                <c:pt idx="2">
                  <c:v>Hindustan Institute of Technology</c:v>
                </c:pt>
                <c:pt idx="3">
                  <c:v>Kongu Engineering College</c:v>
                </c:pt>
                <c:pt idx="4">
                  <c:v>Kumaraguru College of Technology</c:v>
                </c:pt>
                <c:pt idx="5">
                  <c:v>Loyola College</c:v>
                </c:pt>
                <c:pt idx="6">
                  <c:v>MIT Chennai</c:v>
                </c:pt>
                <c:pt idx="7">
                  <c:v>PSG College of Technology</c:v>
                </c:pt>
                <c:pt idx="8">
                  <c:v>Rajalakshmi Engineering College</c:v>
                </c:pt>
                <c:pt idx="9">
                  <c:v>Sathyabama University</c:v>
                </c:pt>
                <c:pt idx="10">
                  <c:v>Saveetha Engineering College</c:v>
                </c:pt>
                <c:pt idx="11">
                  <c:v>SRM Institute of Science and Technology</c:v>
                </c:pt>
                <c:pt idx="12">
                  <c:v>SSN College of Engineering</c:v>
                </c:pt>
                <c:pt idx="13">
                  <c:v>VIT Chennai</c:v>
                </c:pt>
              </c:strCache>
            </c:strRef>
          </c:cat>
          <c:val>
            <c:numRef>
              <c:f>PT_College!$B$4:$B$18</c:f>
              <c:numCache>
                <c:formatCode>General</c:formatCode>
                <c:ptCount val="14"/>
                <c:pt idx="0">
                  <c:v>8</c:v>
                </c:pt>
                <c:pt idx="1">
                  <c:v>8</c:v>
                </c:pt>
                <c:pt idx="2">
                  <c:v>4</c:v>
                </c:pt>
                <c:pt idx="3">
                  <c:v>7</c:v>
                </c:pt>
                <c:pt idx="4">
                  <c:v>6</c:v>
                </c:pt>
                <c:pt idx="5">
                  <c:v>7</c:v>
                </c:pt>
                <c:pt idx="6">
                  <c:v>8</c:v>
                </c:pt>
                <c:pt idx="7">
                  <c:v>8</c:v>
                </c:pt>
                <c:pt idx="8">
                  <c:v>7</c:v>
                </c:pt>
                <c:pt idx="9">
                  <c:v>6</c:v>
                </c:pt>
                <c:pt idx="10">
                  <c:v>7</c:v>
                </c:pt>
                <c:pt idx="11">
                  <c:v>8</c:v>
                </c:pt>
                <c:pt idx="12">
                  <c:v>8</c:v>
                </c:pt>
                <c:pt idx="13">
                  <c:v>8</c:v>
                </c:pt>
              </c:numCache>
            </c:numRef>
          </c:val>
          <c:extLst>
            <c:ext xmlns:c16="http://schemas.microsoft.com/office/drawing/2014/chart" uri="{C3380CC4-5D6E-409C-BE32-E72D297353CC}">
              <c16:uniqueId val="{00000000-892B-47C2-95CB-5721BBB7BCFB}"/>
            </c:ext>
          </c:extLst>
        </c:ser>
        <c:dLbls>
          <c:showLegendKey val="0"/>
          <c:showVal val="0"/>
          <c:showCatName val="0"/>
          <c:showSerName val="0"/>
          <c:showPercent val="0"/>
          <c:showBubbleSize val="0"/>
        </c:dLbls>
        <c:gapWidth val="219"/>
        <c:overlap val="-27"/>
        <c:axId val="224214992"/>
        <c:axId val="1542403440"/>
      </c:barChart>
      <c:catAx>
        <c:axId val="22421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403440"/>
        <c:crosses val="autoZero"/>
        <c:auto val="1"/>
        <c:lblAlgn val="ctr"/>
        <c:lblOffset val="100"/>
        <c:noMultiLvlLbl val="0"/>
      </c:catAx>
      <c:valAx>
        <c:axId val="154240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21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[Recruitment_Analytics_Dashboard.xlsx]PT_AvgAptitude!PivotTable5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Aptitude Score</a:t>
            </a:r>
            <a:endParaRPr lang="en-US" b="1"/>
          </a:p>
        </c:rich>
      </c:tx>
      <c:layout>
        <c:manualLayout>
          <c:xMode val="edge"/>
          <c:yMode val="edge"/>
          <c:x val="0.21584120760215122"/>
          <c:y val="3.82911109346749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903976038376512E-2"/>
          <c:y val="0.17994931025256869"/>
          <c:w val="0.79416896711388096"/>
          <c:h val="0.72974716270659645"/>
        </c:manualLayout>
      </c:layout>
      <c:barChart>
        <c:barDir val="col"/>
        <c:grouping val="clustered"/>
        <c:varyColors val="0"/>
        <c:ser>
          <c:idx val="0"/>
          <c:order val="0"/>
          <c:tx>
            <c:strRef>
              <c:f>PT_AvgAptitude!$B$3</c:f>
              <c:strCache>
                <c:ptCount val="1"/>
                <c:pt idx="0">
                  <c:v>Total</c:v>
                </c:pt>
              </c:strCache>
            </c:strRef>
          </c:tx>
          <c:spPr>
            <a:solidFill>
              <a:schemeClr val="accent1"/>
            </a:solidFill>
            <a:ln>
              <a:noFill/>
            </a:ln>
            <a:effectLst/>
          </c:spPr>
          <c:invertIfNegative val="0"/>
          <c:cat>
            <c:strRef>
              <c:f>PT_AvgAptitude!$A$4:$A$7</c:f>
              <c:strCache>
                <c:ptCount val="3"/>
                <c:pt idx="0">
                  <c:v>Hold</c:v>
                </c:pt>
                <c:pt idx="1">
                  <c:v>Rejected</c:v>
                </c:pt>
                <c:pt idx="2">
                  <c:v>Selected</c:v>
                </c:pt>
              </c:strCache>
            </c:strRef>
          </c:cat>
          <c:val>
            <c:numRef>
              <c:f>PT_AvgAptitude!$B$4:$B$7</c:f>
              <c:numCache>
                <c:formatCode>General</c:formatCode>
                <c:ptCount val="3"/>
                <c:pt idx="0">
                  <c:v>72.235294117647058</c:v>
                </c:pt>
                <c:pt idx="1">
                  <c:v>64.571428571428569</c:v>
                </c:pt>
                <c:pt idx="2">
                  <c:v>87.328947368421055</c:v>
                </c:pt>
              </c:numCache>
            </c:numRef>
          </c:val>
          <c:extLst>
            <c:ext xmlns:c16="http://schemas.microsoft.com/office/drawing/2014/chart" uri="{C3380CC4-5D6E-409C-BE32-E72D297353CC}">
              <c16:uniqueId val="{00000000-C664-4E5B-9C26-885C11E39862}"/>
            </c:ext>
          </c:extLst>
        </c:ser>
        <c:dLbls>
          <c:showLegendKey val="0"/>
          <c:showVal val="0"/>
          <c:showCatName val="0"/>
          <c:showSerName val="0"/>
          <c:showPercent val="0"/>
          <c:showBubbleSize val="0"/>
        </c:dLbls>
        <c:gapWidth val="219"/>
        <c:overlap val="-27"/>
        <c:axId val="346907264"/>
        <c:axId val="1108091504"/>
      </c:barChart>
      <c:catAx>
        <c:axId val="34690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091504"/>
        <c:crosses val="autoZero"/>
        <c:auto val="1"/>
        <c:lblAlgn val="ctr"/>
        <c:lblOffset val="100"/>
        <c:noMultiLvlLbl val="0"/>
      </c:catAx>
      <c:valAx>
        <c:axId val="110809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0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Candidates by Job 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0"/>
              <c:pt idx="0">
                <c:v>AI Engineer</c:v>
              </c:pt>
              <c:pt idx="1">
                <c:v>Backend Developer</c:v>
              </c:pt>
              <c:pt idx="2">
                <c:v>Business Analyst</c:v>
              </c:pt>
              <c:pt idx="3">
                <c:v>Cloud Support Engineer</c:v>
              </c:pt>
              <c:pt idx="4">
                <c:v>Cyber Security Analyst</c:v>
              </c:pt>
              <c:pt idx="5">
                <c:v>Data Analyst</c:v>
              </c:pt>
              <c:pt idx="6">
                <c:v>Data Engineer</c:v>
              </c:pt>
              <c:pt idx="7">
                <c:v>DevOps Engineer</c:v>
              </c:pt>
              <c:pt idx="8">
                <c:v>Frontend Developer</c:v>
              </c:pt>
              <c:pt idx="9">
                <c:v>Full Stack Developer</c:v>
              </c:pt>
              <c:pt idx="10">
                <c:v>Java Developer</c:v>
              </c:pt>
              <c:pt idx="11">
                <c:v>Machine Learning Engineer</c:v>
              </c:pt>
              <c:pt idx="12">
                <c:v>Network Engineer</c:v>
              </c:pt>
              <c:pt idx="13">
                <c:v>Power BI Developer</c:v>
              </c:pt>
              <c:pt idx="14">
                <c:v>Python Developer</c:v>
              </c:pt>
              <c:pt idx="15">
                <c:v>QA Engineer</c:v>
              </c:pt>
              <c:pt idx="16">
                <c:v>SQL Developer</c:v>
              </c:pt>
              <c:pt idx="17">
                <c:v>System Administrator</c:v>
              </c:pt>
              <c:pt idx="18">
                <c:v>Technical Support Engineer</c:v>
              </c:pt>
              <c:pt idx="19">
                <c:v>UI/UX Designer</c:v>
              </c:pt>
            </c:strLit>
          </c:cat>
          <c:val>
            <c:numLit>
              <c:formatCode>General</c:formatCode>
              <c:ptCount val="20"/>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numLit>
          </c:val>
          <c:extLst>
            <c:ext xmlns:c16="http://schemas.microsoft.com/office/drawing/2014/chart" uri="{C3380CC4-5D6E-409C-BE32-E72D297353CC}">
              <c16:uniqueId val="{00000000-C231-4A15-B049-5A6D7B473BBC}"/>
            </c:ext>
          </c:extLst>
        </c:ser>
        <c:dLbls>
          <c:showLegendKey val="0"/>
          <c:showVal val="0"/>
          <c:showCatName val="0"/>
          <c:showSerName val="0"/>
          <c:showPercent val="0"/>
          <c:showBubbleSize val="0"/>
        </c:dLbls>
        <c:gapWidth val="100"/>
        <c:overlap val="-24"/>
        <c:axId val="2088946736"/>
        <c:axId val="2088945296"/>
      </c:barChart>
      <c:catAx>
        <c:axId val="2088946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945296"/>
        <c:crosses val="autoZero"/>
        <c:auto val="1"/>
        <c:lblAlgn val="ctr"/>
        <c:lblOffset val="100"/>
        <c:noMultiLvlLbl val="0"/>
      </c:catAx>
      <c:valAx>
        <c:axId val="208894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94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[Recruitment_Analytics_Dashboard.xlsx]Sheet4!PivotTable3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Candidates by CGPA Rangel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Sheet4!$A$4:$A$7</c:f>
              <c:strCache>
                <c:ptCount val="3"/>
                <c:pt idx="0">
                  <c:v>7-7.9</c:v>
                </c:pt>
                <c:pt idx="1">
                  <c:v>8-8.9</c:v>
                </c:pt>
                <c:pt idx="2">
                  <c:v>9-10</c:v>
                </c:pt>
              </c:strCache>
            </c:strRef>
          </c:cat>
          <c:val>
            <c:numRef>
              <c:f>Sheet4!$B$4:$B$7</c:f>
              <c:numCache>
                <c:formatCode>General</c:formatCode>
                <c:ptCount val="3"/>
                <c:pt idx="0">
                  <c:v>32</c:v>
                </c:pt>
                <c:pt idx="1">
                  <c:v>50</c:v>
                </c:pt>
                <c:pt idx="2">
                  <c:v>18</c:v>
                </c:pt>
              </c:numCache>
            </c:numRef>
          </c:val>
          <c:extLst>
            <c:ext xmlns:c16="http://schemas.microsoft.com/office/drawing/2014/chart" uri="{C3380CC4-5D6E-409C-BE32-E72D297353CC}">
              <c16:uniqueId val="{00000000-9BBE-4652-95AC-20C2FDB57748}"/>
            </c:ext>
          </c:extLst>
        </c:ser>
        <c:dLbls>
          <c:showLegendKey val="0"/>
          <c:showVal val="0"/>
          <c:showCatName val="0"/>
          <c:showSerName val="0"/>
          <c:showPercent val="0"/>
          <c:showBubbleSize val="0"/>
        </c:dLbls>
        <c:gapWidth val="100"/>
        <c:overlap val="-24"/>
        <c:axId val="2089030736"/>
        <c:axId val="2089031216"/>
      </c:barChart>
      <c:catAx>
        <c:axId val="2089030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031216"/>
        <c:crosses val="autoZero"/>
        <c:auto val="1"/>
        <c:lblAlgn val="ctr"/>
        <c:lblOffset val="100"/>
        <c:noMultiLvlLbl val="0"/>
      </c:catAx>
      <c:valAx>
        <c:axId val="208903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03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49917</xdr:colOff>
      <xdr:row>11</xdr:row>
      <xdr:rowOff>10909</xdr:rowOff>
    </xdr:from>
    <xdr:to>
      <xdr:col>4</xdr:col>
      <xdr:colOff>1</xdr:colOff>
      <xdr:row>22</xdr:row>
      <xdr:rowOff>10910</xdr:rowOff>
    </xdr:to>
    <xdr:graphicFrame macro="">
      <xdr:nvGraphicFramePr>
        <xdr:cNvPr id="2" name="Chart 1">
          <a:extLst>
            <a:ext uri="{FF2B5EF4-FFF2-40B4-BE49-F238E27FC236}">
              <a16:creationId xmlns:a16="http://schemas.microsoft.com/office/drawing/2014/main" id="{77A63C37-05F8-435E-8664-59B8E376F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11044</xdr:colOff>
      <xdr:row>11</xdr:row>
      <xdr:rowOff>22088</xdr:rowOff>
    </xdr:from>
    <xdr:to>
      <xdr:col>9</xdr:col>
      <xdr:colOff>20337</xdr:colOff>
      <xdr:row>22</xdr:row>
      <xdr:rowOff>32427</xdr:rowOff>
    </xdr:to>
    <xdr:graphicFrame macro="">
      <xdr:nvGraphicFramePr>
        <xdr:cNvPr id="4" name="Chart 3">
          <a:extLst>
            <a:ext uri="{FF2B5EF4-FFF2-40B4-BE49-F238E27FC236}">
              <a16:creationId xmlns:a16="http://schemas.microsoft.com/office/drawing/2014/main" id="{C0DF7DA8-1279-40CF-A98C-87D8544BF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596800</xdr:colOff>
      <xdr:row>41</xdr:row>
      <xdr:rowOff>48006</xdr:rowOff>
    </xdr:from>
    <xdr:to>
      <xdr:col>13</xdr:col>
      <xdr:colOff>596800</xdr:colOff>
      <xdr:row>55</xdr:row>
      <xdr:rowOff>62076</xdr:rowOff>
    </xdr:to>
    <mc:AlternateContent xmlns:mc="http://schemas.openxmlformats.org/markup-compatibility/2006" xmlns:a14="http://schemas.microsoft.com/office/drawing/2010/main">
      <mc:Choice Requires="a14">
        <xdr:graphicFrame macro="">
          <xdr:nvGraphicFramePr>
            <xdr:cNvPr id="5" name="Final_Result">
              <a:extLst>
                <a:ext uri="{FF2B5EF4-FFF2-40B4-BE49-F238E27FC236}">
                  <a16:creationId xmlns:a16="http://schemas.microsoft.com/office/drawing/2014/main" id="{3B692EA2-5219-6705-A220-98B007905AB6}"/>
                </a:ext>
              </a:extLst>
            </xdr:cNvPr>
            <xdr:cNvGraphicFramePr/>
          </xdr:nvGraphicFramePr>
          <xdr:xfrm>
            <a:off x="0" y="0"/>
            <a:ext cx="0" cy="0"/>
          </xdr:xfrm>
          <a:graphic>
            <a:graphicData uri="http://schemas.microsoft.com/office/drawing/2010/slicer">
              <sle:slicer xmlns:sle="http://schemas.microsoft.com/office/drawing/2010/slicer" name="Final_Result"/>
            </a:graphicData>
          </a:graphic>
        </xdr:graphicFrame>
      </mc:Choice>
      <mc:Fallback xmlns="">
        <xdr:sp macro="" textlink="">
          <xdr:nvSpPr>
            <xdr:cNvPr id="0" name=""/>
            <xdr:cNvSpPr>
              <a:spLocks noTextEdit="1"/>
            </xdr:cNvSpPr>
          </xdr:nvSpPr>
          <xdr:spPr>
            <a:xfrm>
              <a:off x="6714265" y="7571414"/>
              <a:ext cx="1835239" cy="2568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575264</xdr:colOff>
      <xdr:row>41</xdr:row>
      <xdr:rowOff>38217</xdr:rowOff>
    </xdr:from>
    <xdr:to>
      <xdr:col>8</xdr:col>
      <xdr:colOff>575264</xdr:colOff>
      <xdr:row>55</xdr:row>
      <xdr:rowOff>52286</xdr:rowOff>
    </xdr:to>
    <mc:AlternateContent xmlns:mc="http://schemas.openxmlformats.org/markup-compatibility/2006" xmlns:a14="http://schemas.microsoft.com/office/drawing/2010/main">
      <mc:Choice Requires="a14">
        <xdr:graphicFrame macro="">
          <xdr:nvGraphicFramePr>
            <xdr:cNvPr id="6" name="College">
              <a:extLst>
                <a:ext uri="{FF2B5EF4-FFF2-40B4-BE49-F238E27FC236}">
                  <a16:creationId xmlns:a16="http://schemas.microsoft.com/office/drawing/2014/main" id="{B197CDC5-D4A8-4A09-B6BB-C3C70107FFFC}"/>
                </a:ext>
              </a:extLst>
            </xdr:cNvPr>
            <xdr:cNvGraphicFramePr/>
          </xdr:nvGraphicFramePr>
          <xdr:xfrm>
            <a:off x="0" y="0"/>
            <a:ext cx="0" cy="0"/>
          </xdr:xfrm>
          <a:graphic>
            <a:graphicData uri="http://schemas.microsoft.com/office/drawing/2010/slicer">
              <sle:slicer xmlns:sle="http://schemas.microsoft.com/office/drawing/2010/slicer" name="College"/>
            </a:graphicData>
          </a:graphic>
        </xdr:graphicFrame>
      </mc:Choice>
      <mc:Fallback xmlns="">
        <xdr:sp macro="" textlink="">
          <xdr:nvSpPr>
            <xdr:cNvPr id="0" name=""/>
            <xdr:cNvSpPr>
              <a:spLocks noTextEdit="1"/>
            </xdr:cNvSpPr>
          </xdr:nvSpPr>
          <xdr:spPr>
            <a:xfrm>
              <a:off x="3633996" y="7561625"/>
              <a:ext cx="1835240" cy="2568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590720</xdr:colOff>
      <xdr:row>40</xdr:row>
      <xdr:rowOff>160737</xdr:rowOff>
    </xdr:from>
    <xdr:to>
      <xdr:col>3</xdr:col>
      <xdr:colOff>590720</xdr:colOff>
      <xdr:row>55</xdr:row>
      <xdr:rowOff>10983</xdr:rowOff>
    </xdr:to>
    <mc:AlternateContent xmlns:mc="http://schemas.openxmlformats.org/markup-compatibility/2006" xmlns:a14="http://schemas.microsoft.com/office/drawing/2010/main">
      <mc:Choice Requires="a14">
        <xdr:graphicFrame macro="">
          <xdr:nvGraphicFramePr>
            <xdr:cNvPr id="7" name="Job_Role">
              <a:extLst>
                <a:ext uri="{FF2B5EF4-FFF2-40B4-BE49-F238E27FC236}">
                  <a16:creationId xmlns:a16="http://schemas.microsoft.com/office/drawing/2014/main" id="{31331338-AD7B-4A38-9B7E-89578C9E88DD}"/>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590720" y="7501695"/>
              <a:ext cx="1835239" cy="2587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22088</xdr:colOff>
      <xdr:row>11</xdr:row>
      <xdr:rowOff>11644</xdr:rowOff>
    </xdr:from>
    <xdr:to>
      <xdr:col>14</xdr:col>
      <xdr:colOff>52791</xdr:colOff>
      <xdr:row>21</xdr:row>
      <xdr:rowOff>179018</xdr:rowOff>
    </xdr:to>
    <xdr:graphicFrame macro="">
      <xdr:nvGraphicFramePr>
        <xdr:cNvPr id="8" name="Chart 7">
          <a:extLst>
            <a:ext uri="{FF2B5EF4-FFF2-40B4-BE49-F238E27FC236}">
              <a16:creationId xmlns:a16="http://schemas.microsoft.com/office/drawing/2014/main" id="{DA7FBB52-CF72-4D97-9FAF-9DB47A911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83127</xdr:colOff>
      <xdr:row>24</xdr:row>
      <xdr:rowOff>1</xdr:rowOff>
    </xdr:from>
    <xdr:to>
      <xdr:col>6</xdr:col>
      <xdr:colOff>41563</xdr:colOff>
      <xdr:row>38</xdr:row>
      <xdr:rowOff>135466</xdr:rowOff>
    </xdr:to>
    <xdr:graphicFrame macro="">
      <xdr:nvGraphicFramePr>
        <xdr:cNvPr id="3" name="Chart 2">
          <a:extLst>
            <a:ext uri="{FF2B5EF4-FFF2-40B4-BE49-F238E27FC236}">
              <a16:creationId xmlns:a16="http://schemas.microsoft.com/office/drawing/2014/main" id="{0A087AF1-F794-4D7C-9AEA-435D09F3C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554181</xdr:colOff>
      <xdr:row>23</xdr:row>
      <xdr:rowOff>152400</xdr:rowOff>
    </xdr:from>
    <xdr:to>
      <xdr:col>14</xdr:col>
      <xdr:colOff>595745</xdr:colOff>
      <xdr:row>38</xdr:row>
      <xdr:rowOff>107757</xdr:rowOff>
    </xdr:to>
    <xdr:graphicFrame macro="">
      <xdr:nvGraphicFramePr>
        <xdr:cNvPr id="10" name="Chart 9">
          <a:extLst>
            <a:ext uri="{FF2B5EF4-FFF2-40B4-BE49-F238E27FC236}">
              <a16:creationId xmlns:a16="http://schemas.microsoft.com/office/drawing/2014/main" id="{E3241510-7652-4C27-9CEE-EA39E631A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I T" refreshedDate="46220.536638194448" createdVersion="8" refreshedVersion="8" minRefreshableVersion="3" recordCount="100" xr:uid="{0C6C5520-10B0-48D5-A22C-AEC0332DD39D}">
  <cacheSource type="worksheet">
    <worksheetSource name="candidate_details"/>
  </cacheSource>
  <cacheFields count="6">
    <cacheField name="Candidate_ID" numFmtId="0">
      <sharedItems containsSemiMixedTypes="0" containsString="0" containsNumber="1" containsInteger="1" minValue="1" maxValue="100"/>
    </cacheField>
    <cacheField name="Candidate_Name" numFmtId="0">
      <sharedItems/>
    </cacheField>
    <cacheField name="College" numFmtId="0">
      <sharedItems count="14">
        <s v="Anna University"/>
        <s v="SRM Institute of Science and Technology"/>
        <s v="SSN College of Engineering"/>
        <s v="VIT Chennai"/>
        <s v="PSG College of Technology"/>
        <s v="Sathyabama University"/>
        <s v="Kumaraguru College of Technology"/>
        <s v="Rajalakshmi Engineering College"/>
        <s v="Loyola College"/>
        <s v="Amrita University"/>
        <s v="MIT Chennai"/>
        <s v="Hindustan Institute of Technology"/>
        <s v="Kongu Engineering College"/>
        <s v="Saveetha Engineering College"/>
      </sharedItems>
    </cacheField>
    <cacheField name="Location" numFmtId="0">
      <sharedItems/>
    </cacheField>
    <cacheField name="CGPA" numFmtId="0">
      <sharedItems containsSemiMixedTypes="0" containsString="0" containsNumber="1" minValue="7.2" maxValue="9.4"/>
    </cacheField>
    <cacheField name="Job_ID" numFmtId="0">
      <sharedItems containsSemiMixedTypes="0" containsString="0" containsNumber="1" containsInteger="1" minValue="101" maxValue="120" count="20">
        <n v="101"/>
        <n v="103"/>
        <n v="102"/>
        <n v="104"/>
        <n v="105"/>
        <n v="107"/>
        <n v="106"/>
        <n v="108"/>
        <n v="109"/>
        <n v="110"/>
        <n v="111"/>
        <n v="112"/>
        <n v="113"/>
        <n v="114"/>
        <n v="115"/>
        <n v="116"/>
        <n v="117"/>
        <n v="118"/>
        <n v="119"/>
        <n v="120"/>
      </sharedItems>
    </cacheField>
  </cacheFields>
  <extLst>
    <ext xmlns:x14="http://schemas.microsoft.com/office/spreadsheetml/2009/9/main" uri="{725AE2AE-9491-48be-B2B4-4EB974FC3084}">
      <x14:pivotCacheDefinition pivotCacheId="13841801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I T" refreshedDate="46220.536638541664" createdVersion="8" refreshedVersion="8" minRefreshableVersion="3" recordCount="20" xr:uid="{55D6983A-EABE-4520-89DF-146521668B89}">
  <cacheSource type="worksheet">
    <worksheetSource name="job_details"/>
  </cacheSource>
  <cacheFields count="4">
    <cacheField name="Job_ID" numFmtId="0">
      <sharedItems containsSemiMixedTypes="0" containsString="0" containsNumber="1" containsInteger="1" minValue="101" maxValue="120"/>
    </cacheField>
    <cacheField name="Job_Role" numFmtId="0">
      <sharedItems count="20">
        <s v="Data Analyst"/>
        <s v="SQL Developer"/>
        <s v="Power BI Developer"/>
        <s v="Business Analyst"/>
        <s v="Python Developer"/>
        <s v="Java Developer"/>
        <s v="Full Stack Developer"/>
        <s v="QA Engineer"/>
        <s v="Cloud Support Engineer"/>
        <s v="AI Engineer"/>
        <s v="Data Engineer"/>
        <s v="DevOps Engineer"/>
        <s v="Network Engineer"/>
        <s v="System Administrator"/>
        <s v="UI/UX Designer"/>
        <s v="Frontend Developer"/>
        <s v="Backend Developer"/>
        <s v="Cyber Security Analyst"/>
        <s v="Machine Learning Engineer"/>
        <s v="Technical Support Engineer"/>
      </sharedItems>
    </cacheField>
    <cacheField name="Department" numFmtId="0">
      <sharedItems/>
    </cacheField>
    <cacheField name="Location" numFmtId="0">
      <sharedItems/>
    </cacheField>
  </cacheFields>
  <extLst>
    <ext xmlns:x14="http://schemas.microsoft.com/office/spreadsheetml/2009/9/main" uri="{725AE2AE-9491-48be-B2B4-4EB974FC3084}">
      <x14:pivotCacheDefinition pivotCacheId="76330403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I T" refreshedDate="46220.53663865741" createdVersion="8" refreshedVersion="8" minRefreshableVersion="3" recordCount="100" xr:uid="{6E039083-F844-4ABA-A619-DC6E7B056400}">
  <cacheSource type="worksheet">
    <worksheetSource name="interview_results"/>
  </cacheSource>
  <cacheFields count="5">
    <cacheField name="Candidate_ID" numFmtId="0">
      <sharedItems containsSemiMixedTypes="0" containsString="0" containsNumber="1" containsInteger="1" minValue="1" maxValue="100"/>
    </cacheField>
    <cacheField name="Aptitude_Score" numFmtId="0">
      <sharedItems containsSemiMixedTypes="0" containsString="0" containsNumber="1" containsInteger="1" minValue="60" maxValue="100"/>
    </cacheField>
    <cacheField name="Technical_Score" numFmtId="0">
      <sharedItems containsSemiMixedTypes="0" containsString="0" containsNumber="1" containsInteger="1" minValue="65" maxValue="99"/>
    </cacheField>
    <cacheField name="HR_Score" numFmtId="0">
      <sharedItems containsSemiMixedTypes="0" containsString="0" containsNumber="1" containsInteger="1" minValue="68" maxValue="100"/>
    </cacheField>
    <cacheField name="Final_Result" numFmtId="0">
      <sharedItems count="3">
        <s v="Selected"/>
        <s v="Hold"/>
        <s v="Rejected"/>
      </sharedItems>
    </cacheField>
  </cacheFields>
  <extLst>
    <ext xmlns:x14="http://schemas.microsoft.com/office/spreadsheetml/2009/9/main" uri="{725AE2AE-9491-48be-B2B4-4EB974FC3084}">
      <x14:pivotCacheDefinition pivotCacheId="128046912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I T" refreshedDate="46226.429700347224" createdVersion="8" refreshedVersion="8" minRefreshableVersion="3" recordCount="100" xr:uid="{83B71FE2-36AC-465D-8785-EAF16B419818}">
  <cacheSource type="worksheet">
    <worksheetSource name="candidate_details2"/>
  </cacheSource>
  <cacheFields count="8">
    <cacheField name="Candidate_ID" numFmtId="0">
      <sharedItems containsSemiMixedTypes="0" containsString="0" containsNumber="1" containsInteger="1" minValue="1" maxValue="100"/>
    </cacheField>
    <cacheField name="Candidate_Name" numFmtId="0">
      <sharedItems/>
    </cacheField>
    <cacheField name="College" numFmtId="0">
      <sharedItems/>
    </cacheField>
    <cacheField name="Location" numFmtId="0">
      <sharedItems/>
    </cacheField>
    <cacheField name="CGPA" numFmtId="0">
      <sharedItems containsSemiMixedTypes="0" containsString="0" containsNumber="1" minValue="7.2" maxValue="9.4"/>
    </cacheField>
    <cacheField name="Job_ID" numFmtId="0">
      <sharedItems containsSemiMixedTypes="0" containsString="0" containsNumber="1" containsInteger="1" minValue="101" maxValue="120"/>
    </cacheField>
    <cacheField name="Job_Roles" numFmtId="0">
      <sharedItems/>
    </cacheField>
    <cacheField name="CGPA_Range" numFmtId="0">
      <sharedItems count="3">
        <s v="8-8.9"/>
        <s v="7-7.9"/>
        <s v="9-1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Arun Kumar"/>
    <x v="0"/>
    <s v="Chennai"/>
    <n v="8.4"/>
    <x v="0"/>
  </r>
  <r>
    <n v="2"/>
    <s v="Priya Sharma"/>
    <x v="1"/>
    <s v="Chennai"/>
    <n v="7.8"/>
    <x v="1"/>
  </r>
  <r>
    <n v="3"/>
    <s v="Karthik Raj"/>
    <x v="2"/>
    <s v="Chennai"/>
    <n v="8.9"/>
    <x v="2"/>
  </r>
  <r>
    <n v="4"/>
    <s v="Divya S"/>
    <x v="3"/>
    <s v="Chennai"/>
    <n v="7.5"/>
    <x v="3"/>
  </r>
  <r>
    <n v="5"/>
    <s v="Rahul Kumar"/>
    <x v="4"/>
    <s v="Coimbatore"/>
    <n v="9.1"/>
    <x v="4"/>
  </r>
  <r>
    <n v="6"/>
    <s v="Ananya R"/>
    <x v="5"/>
    <s v="Chennai"/>
    <n v="8.1999999999999993"/>
    <x v="5"/>
  </r>
  <r>
    <n v="7"/>
    <s v="Vignesh M"/>
    <x v="6"/>
    <s v="Coimbatore"/>
    <n v="7.6"/>
    <x v="6"/>
  </r>
  <r>
    <n v="8"/>
    <s v="Keerthana P"/>
    <x v="7"/>
    <s v="Chennai"/>
    <n v="8.6999999999999993"/>
    <x v="7"/>
  </r>
  <r>
    <n v="9"/>
    <s v="Sanjay K"/>
    <x v="8"/>
    <s v="Chennai"/>
    <n v="7.9"/>
    <x v="8"/>
  </r>
  <r>
    <n v="10"/>
    <s v="Harini V"/>
    <x v="9"/>
    <s v="Coimbatore"/>
    <n v="9.3000000000000007"/>
    <x v="9"/>
  </r>
  <r>
    <n v="11"/>
    <s v="Ajay Prakash"/>
    <x v="10"/>
    <s v="Chennai"/>
    <n v="7.2"/>
    <x v="10"/>
  </r>
  <r>
    <n v="12"/>
    <s v="Nithya Devi"/>
    <x v="11"/>
    <s v="Chennai"/>
    <n v="8.5"/>
    <x v="11"/>
  </r>
  <r>
    <n v="13"/>
    <s v="Dinesh Kumar"/>
    <x v="12"/>
    <s v="Erode"/>
    <n v="8"/>
    <x v="12"/>
  </r>
  <r>
    <n v="14"/>
    <s v="Swetha R"/>
    <x v="13"/>
    <s v="Chennai"/>
    <n v="7.7"/>
    <x v="13"/>
  </r>
  <r>
    <n v="15"/>
    <s v="Vijay S"/>
    <x v="0"/>
    <s v="Chennai"/>
    <n v="9"/>
    <x v="14"/>
  </r>
  <r>
    <n v="16"/>
    <s v="Pooja K"/>
    <x v="1"/>
    <s v="Chennai"/>
    <n v="8.3000000000000007"/>
    <x v="15"/>
  </r>
  <r>
    <n v="17"/>
    <s v="Rohit Kumar"/>
    <x v="2"/>
    <s v="Chennai"/>
    <n v="7.4"/>
    <x v="16"/>
  </r>
  <r>
    <n v="18"/>
    <s v="Meena Priya"/>
    <x v="3"/>
    <s v="Chennai"/>
    <n v="8.8000000000000007"/>
    <x v="17"/>
  </r>
  <r>
    <n v="19"/>
    <s v="Surya Raj"/>
    <x v="4"/>
    <s v="Coimbatore"/>
    <n v="8.1"/>
    <x v="18"/>
  </r>
  <r>
    <n v="20"/>
    <s v="Kavya M"/>
    <x v="5"/>
    <s v="Chennai"/>
    <n v="9.1999999999999993"/>
    <x v="19"/>
  </r>
  <r>
    <n v="21"/>
    <s v="Arun Prasad"/>
    <x v="6"/>
    <s v="Coimbatore"/>
    <n v="7.3"/>
    <x v="0"/>
  </r>
  <r>
    <n v="22"/>
    <s v="Priya N"/>
    <x v="7"/>
    <s v="Chennai"/>
    <n v="8.6"/>
    <x v="2"/>
  </r>
  <r>
    <n v="23"/>
    <s v="Karthik S"/>
    <x v="8"/>
    <s v="Chennai"/>
    <n v="8.9"/>
    <x v="1"/>
  </r>
  <r>
    <n v="24"/>
    <s v="Divya R"/>
    <x v="9"/>
    <s v="Coimbatore"/>
    <n v="7.8"/>
    <x v="3"/>
  </r>
  <r>
    <n v="25"/>
    <s v="Rahul V"/>
    <x v="10"/>
    <s v="Chennai"/>
    <n v="8.4"/>
    <x v="4"/>
  </r>
  <r>
    <n v="26"/>
    <s v="Ananya Kumar"/>
    <x v="11"/>
    <s v="Chennai"/>
    <n v="8.6999999999999993"/>
    <x v="6"/>
  </r>
  <r>
    <n v="27"/>
    <s v="Vignesh Raj"/>
    <x v="12"/>
    <s v="Erode"/>
    <n v="7.9"/>
    <x v="5"/>
  </r>
  <r>
    <n v="28"/>
    <s v="Keerthana S"/>
    <x v="13"/>
    <s v="Chennai"/>
    <n v="8.5"/>
    <x v="7"/>
  </r>
  <r>
    <n v="29"/>
    <s v="Sanjay R"/>
    <x v="0"/>
    <s v="Chennai"/>
    <n v="7.6"/>
    <x v="8"/>
  </r>
  <r>
    <n v="30"/>
    <s v="Harini K"/>
    <x v="1"/>
    <s v="Chennai"/>
    <n v="9.1"/>
    <x v="9"/>
  </r>
  <r>
    <n v="31"/>
    <s v="Ajay Kumar"/>
    <x v="2"/>
    <s v="Chennai"/>
    <n v="8.1999999999999993"/>
    <x v="10"/>
  </r>
  <r>
    <n v="32"/>
    <s v="Nithya S"/>
    <x v="3"/>
    <s v="Chennai"/>
    <n v="7.8"/>
    <x v="11"/>
  </r>
  <r>
    <n v="33"/>
    <s v="Dinesh Raj"/>
    <x v="4"/>
    <s v="Coimbatore"/>
    <n v="8.9"/>
    <x v="12"/>
  </r>
  <r>
    <n v="34"/>
    <s v="Swetha Devi"/>
    <x v="9"/>
    <s v="Coimbatore"/>
    <n v="8.3000000000000007"/>
    <x v="13"/>
  </r>
  <r>
    <n v="35"/>
    <s v="Vijay Kumar"/>
    <x v="10"/>
    <s v="Chennai"/>
    <n v="7.5"/>
    <x v="14"/>
  </r>
  <r>
    <n v="36"/>
    <s v="Pooja R"/>
    <x v="6"/>
    <s v="Coimbatore"/>
    <n v="9"/>
    <x v="15"/>
  </r>
  <r>
    <n v="37"/>
    <s v="Rohit S"/>
    <x v="7"/>
    <s v="Chennai"/>
    <n v="8.1"/>
    <x v="16"/>
  </r>
  <r>
    <n v="38"/>
    <s v="Meena K"/>
    <x v="8"/>
    <s v="Chennai"/>
    <n v="7.7"/>
    <x v="17"/>
  </r>
  <r>
    <n v="39"/>
    <s v="Surya Prakash"/>
    <x v="5"/>
    <s v="Chennai"/>
    <n v="8.8000000000000007"/>
    <x v="18"/>
  </r>
  <r>
    <n v="40"/>
    <s v="Kavya R"/>
    <x v="13"/>
    <s v="Chennai"/>
    <n v="9.4"/>
    <x v="19"/>
  </r>
  <r>
    <n v="41"/>
    <s v="Arun Raj"/>
    <x v="0"/>
    <s v="Chennai"/>
    <n v="8"/>
    <x v="0"/>
  </r>
  <r>
    <n v="42"/>
    <s v="Priya Devi"/>
    <x v="1"/>
    <s v="Chennai"/>
    <n v="8.6"/>
    <x v="2"/>
  </r>
  <r>
    <n v="43"/>
    <s v="Karthik Kumar"/>
    <x v="2"/>
    <s v="Chennai"/>
    <n v="7.4"/>
    <x v="1"/>
  </r>
  <r>
    <n v="44"/>
    <s v="Divya Kumar"/>
    <x v="3"/>
    <s v="Chennai"/>
    <n v="8.9"/>
    <x v="3"/>
  </r>
  <r>
    <n v="45"/>
    <s v="Rahul Raj"/>
    <x v="4"/>
    <s v="Coimbatore"/>
    <n v="8.1999999999999993"/>
    <x v="4"/>
  </r>
  <r>
    <n v="46"/>
    <s v="Ananya Priya"/>
    <x v="9"/>
    <s v="Coimbatore"/>
    <n v="7.6"/>
    <x v="6"/>
  </r>
  <r>
    <n v="47"/>
    <s v="Vignesh Kumar"/>
    <x v="12"/>
    <s v="Erode"/>
    <n v="8.6999999999999993"/>
    <x v="5"/>
  </r>
  <r>
    <n v="48"/>
    <s v="Keerthana Raj"/>
    <x v="7"/>
    <s v="Chennai"/>
    <n v="9"/>
    <x v="7"/>
  </r>
  <r>
    <n v="49"/>
    <s v="Sanjay Kumar"/>
    <x v="8"/>
    <s v="Chennai"/>
    <n v="7.3"/>
    <x v="8"/>
  </r>
  <r>
    <n v="50"/>
    <s v="Harini Raj"/>
    <x v="10"/>
    <s v="Chennai"/>
    <n v="8.5"/>
    <x v="9"/>
  </r>
  <r>
    <n v="51"/>
    <s v="Ajay Raj"/>
    <x v="11"/>
    <s v="Chennai"/>
    <n v="8.3000000000000007"/>
    <x v="10"/>
  </r>
  <r>
    <n v="52"/>
    <s v="Nithya Kumar"/>
    <x v="13"/>
    <s v="Chennai"/>
    <n v="7.8"/>
    <x v="11"/>
  </r>
  <r>
    <n v="53"/>
    <s v="Dinesh S"/>
    <x v="12"/>
    <s v="Erode"/>
    <n v="8.6"/>
    <x v="12"/>
  </r>
  <r>
    <n v="54"/>
    <s v="Swetha Kumar"/>
    <x v="4"/>
    <s v="Coimbatore"/>
    <n v="9.1"/>
    <x v="13"/>
  </r>
  <r>
    <n v="55"/>
    <s v="Vijay Raj"/>
    <x v="0"/>
    <s v="Chennai"/>
    <n v="7.5"/>
    <x v="14"/>
  </r>
  <r>
    <n v="56"/>
    <s v="Pooja Devi"/>
    <x v="1"/>
    <s v="Chennai"/>
    <n v="8.8000000000000007"/>
    <x v="15"/>
  </r>
  <r>
    <n v="57"/>
    <s v="Rohit Kumar"/>
    <x v="2"/>
    <s v="Chennai"/>
    <n v="8"/>
    <x v="16"/>
  </r>
  <r>
    <n v="58"/>
    <s v="Meena S"/>
    <x v="3"/>
    <s v="Chennai"/>
    <n v="7.7"/>
    <x v="17"/>
  </r>
  <r>
    <n v="59"/>
    <s v="Surya Kumar"/>
    <x v="9"/>
    <s v="Coimbatore"/>
    <n v="9.1999999999999993"/>
    <x v="18"/>
  </r>
  <r>
    <n v="60"/>
    <s v="Kavya Devi"/>
    <x v="5"/>
    <s v="Chennai"/>
    <n v="8.4"/>
    <x v="19"/>
  </r>
  <r>
    <n v="61"/>
    <s v="Arun Kumar S"/>
    <x v="10"/>
    <s v="Chennai"/>
    <n v="7.9"/>
    <x v="0"/>
  </r>
  <r>
    <n v="62"/>
    <s v="Priya Raj"/>
    <x v="8"/>
    <s v="Chennai"/>
    <n v="8.6999999999999993"/>
    <x v="2"/>
  </r>
  <r>
    <n v="63"/>
    <s v="Karthik Devi"/>
    <x v="7"/>
    <s v="Chennai"/>
    <n v="8.1"/>
    <x v="1"/>
  </r>
  <r>
    <n v="64"/>
    <s v="Divya Priya"/>
    <x v="6"/>
    <s v="Coimbatore"/>
    <n v="9"/>
    <x v="3"/>
  </r>
  <r>
    <n v="65"/>
    <s v="Rahul S"/>
    <x v="12"/>
    <s v="Erode"/>
    <n v="7.6"/>
    <x v="4"/>
  </r>
  <r>
    <n v="66"/>
    <s v="Ananya Devi"/>
    <x v="13"/>
    <s v="Chennai"/>
    <n v="8.5"/>
    <x v="6"/>
  </r>
  <r>
    <n v="67"/>
    <s v="Vignesh Kumar S"/>
    <x v="0"/>
    <s v="Chennai"/>
    <n v="8.9"/>
    <x v="5"/>
  </r>
  <r>
    <n v="68"/>
    <s v="Keerthana Devi"/>
    <x v="1"/>
    <s v="Chennai"/>
    <n v="7.4"/>
    <x v="7"/>
  </r>
  <r>
    <n v="69"/>
    <s v="Sanjay Prakash"/>
    <x v="2"/>
    <s v="Chennai"/>
    <n v="8.8000000000000007"/>
    <x v="8"/>
  </r>
  <r>
    <n v="70"/>
    <s v="Harini S"/>
    <x v="3"/>
    <s v="Chennai"/>
    <n v="9.3000000000000007"/>
    <x v="9"/>
  </r>
  <r>
    <n v="71"/>
    <s v="Ajay Kumar S"/>
    <x v="4"/>
    <s v="Coimbatore"/>
    <n v="8.1999999999999993"/>
    <x v="10"/>
  </r>
  <r>
    <n v="72"/>
    <s v="Nithya Raj"/>
    <x v="9"/>
    <s v="Coimbatore"/>
    <n v="7.9"/>
    <x v="11"/>
  </r>
  <r>
    <n v="73"/>
    <s v="Dinesh Kumar S"/>
    <x v="10"/>
    <s v="Chennai"/>
    <n v="8.6"/>
    <x v="12"/>
  </r>
  <r>
    <n v="74"/>
    <s v="Swetha Priya"/>
    <x v="8"/>
    <s v="Chennai"/>
    <n v="9.1"/>
    <x v="13"/>
  </r>
  <r>
    <n v="75"/>
    <s v="Vijay Kumar S"/>
    <x v="5"/>
    <s v="Chennai"/>
    <n v="7.8"/>
    <x v="14"/>
  </r>
  <r>
    <n v="76"/>
    <s v="Pooja Kumar"/>
    <x v="7"/>
    <s v="Chennai"/>
    <n v="8.4"/>
    <x v="15"/>
  </r>
  <r>
    <n v="77"/>
    <s v="Rohit Raj"/>
    <x v="6"/>
    <s v="Coimbatore"/>
    <n v="7.7"/>
    <x v="16"/>
  </r>
  <r>
    <n v="78"/>
    <s v="Meena Devi"/>
    <x v="12"/>
    <s v="Erode"/>
    <n v="8.9"/>
    <x v="17"/>
  </r>
  <r>
    <n v="79"/>
    <s v="Surya S"/>
    <x v="13"/>
    <s v="Chennai"/>
    <n v="8.1"/>
    <x v="18"/>
  </r>
  <r>
    <n v="80"/>
    <s v="Kavya Kumar"/>
    <x v="0"/>
    <s v="Chennai"/>
    <n v="9.1999999999999993"/>
    <x v="19"/>
  </r>
  <r>
    <n v="81"/>
    <s v="Arun Prakash"/>
    <x v="1"/>
    <s v="Chennai"/>
    <n v="7.6"/>
    <x v="0"/>
  </r>
  <r>
    <n v="82"/>
    <s v="Priya Kumar"/>
    <x v="2"/>
    <s v="Chennai"/>
    <n v="8.8000000000000007"/>
    <x v="2"/>
  </r>
  <r>
    <n v="83"/>
    <s v="Karthik Raj S"/>
    <x v="3"/>
    <s v="Chennai"/>
    <n v="8.3000000000000007"/>
    <x v="1"/>
  </r>
  <r>
    <n v="84"/>
    <s v="Divya Devi"/>
    <x v="4"/>
    <s v="Coimbatore"/>
    <n v="7.9"/>
    <x v="3"/>
  </r>
  <r>
    <n v="85"/>
    <s v="Rahul Prakash"/>
    <x v="9"/>
    <s v="Coimbatore"/>
    <n v="9"/>
    <x v="4"/>
  </r>
  <r>
    <n v="86"/>
    <s v="Ananya S"/>
    <x v="10"/>
    <s v="Chennai"/>
    <n v="8.5"/>
    <x v="6"/>
  </r>
  <r>
    <n v="87"/>
    <s v="Vignesh Prakash"/>
    <x v="11"/>
    <s v="Chennai"/>
    <n v="7.4"/>
    <x v="5"/>
  </r>
  <r>
    <n v="88"/>
    <s v="Keerthana Kumar"/>
    <x v="8"/>
    <s v="Chennai"/>
    <n v="8.6999999999999993"/>
    <x v="7"/>
  </r>
  <r>
    <n v="89"/>
    <s v="Sanjay S"/>
    <x v="5"/>
    <s v="Chennai"/>
    <n v="8.1999999999999993"/>
    <x v="8"/>
  </r>
  <r>
    <n v="90"/>
    <s v="Harini Devi"/>
    <x v="7"/>
    <s v="Chennai"/>
    <n v="9.1"/>
    <x v="9"/>
  </r>
  <r>
    <n v="91"/>
    <s v="Ajay Prakash S"/>
    <x v="6"/>
    <s v="Coimbatore"/>
    <n v="7.8"/>
    <x v="10"/>
  </r>
  <r>
    <n v="92"/>
    <s v="Nithya Priya"/>
    <x v="12"/>
    <s v="Erode"/>
    <n v="8.6"/>
    <x v="11"/>
  </r>
  <r>
    <n v="93"/>
    <s v="Dinesh Kumar R"/>
    <x v="13"/>
    <s v="Chennai"/>
    <n v="8"/>
    <x v="12"/>
  </r>
  <r>
    <n v="94"/>
    <s v="Swetha S"/>
    <x v="0"/>
    <s v="Chennai"/>
    <n v="9.3000000000000007"/>
    <x v="13"/>
  </r>
  <r>
    <n v="95"/>
    <s v="Vijay Prakash"/>
    <x v="1"/>
    <s v="Chennai"/>
    <n v="7.5"/>
    <x v="14"/>
  </r>
  <r>
    <n v="96"/>
    <s v="Pooja Devi S"/>
    <x v="2"/>
    <s v="Chennai"/>
    <n v="8.9"/>
    <x v="15"/>
  </r>
  <r>
    <n v="97"/>
    <s v="Rohit Kumar S"/>
    <x v="3"/>
    <s v="Chennai"/>
    <n v="8.4"/>
    <x v="16"/>
  </r>
  <r>
    <n v="98"/>
    <s v="Meena Priya S"/>
    <x v="4"/>
    <s v="Coimbatore"/>
    <n v="7.7"/>
    <x v="17"/>
  </r>
  <r>
    <n v="99"/>
    <s v="Surya Raj S"/>
    <x v="9"/>
    <s v="Coimbatore"/>
    <n v="9.1999999999999993"/>
    <x v="18"/>
  </r>
  <r>
    <n v="100"/>
    <s v="Kavya Priya"/>
    <x v="10"/>
    <s v="Chennai"/>
    <n v="8.8000000000000007"/>
    <x v="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1"/>
    <x v="0"/>
    <s v="Analytics"/>
    <s v="Chennai"/>
  </r>
  <r>
    <n v="102"/>
    <x v="1"/>
    <s v="Database"/>
    <s v="Bangalore"/>
  </r>
  <r>
    <n v="103"/>
    <x v="2"/>
    <s v="Business Intelligence"/>
    <s v="Hyderabad"/>
  </r>
  <r>
    <n v="104"/>
    <x v="3"/>
    <s v="Business Analysis"/>
    <s v="Chennai"/>
  </r>
  <r>
    <n v="105"/>
    <x v="4"/>
    <s v="Software Development"/>
    <s v="Pune"/>
  </r>
  <r>
    <n v="106"/>
    <x v="5"/>
    <s v="Software Development"/>
    <s v="Bangalore"/>
  </r>
  <r>
    <n v="107"/>
    <x v="6"/>
    <s v="Web Development"/>
    <s v="Hyderabad"/>
  </r>
  <r>
    <n v="108"/>
    <x v="7"/>
    <s v="Quality Assurance"/>
    <s v="Chennai"/>
  </r>
  <r>
    <n v="109"/>
    <x v="8"/>
    <s v="Cloud Operations"/>
    <s v="Noida"/>
  </r>
  <r>
    <n v="110"/>
    <x v="9"/>
    <s v="Artificial Intelligence"/>
    <s v="Bangalore"/>
  </r>
  <r>
    <n v="111"/>
    <x v="10"/>
    <s v="Data Engineering"/>
    <s v="Chennai"/>
  </r>
  <r>
    <n v="112"/>
    <x v="11"/>
    <s v="DevOps"/>
    <s v="Hyderabad"/>
  </r>
  <r>
    <n v="113"/>
    <x v="12"/>
    <s v="Infrastructure"/>
    <s v="Mumbai"/>
  </r>
  <r>
    <n v="114"/>
    <x v="13"/>
    <s v="IT Operations"/>
    <s v="Chennai"/>
  </r>
  <r>
    <n v="115"/>
    <x v="14"/>
    <s v="Design"/>
    <s v="Bangalore"/>
  </r>
  <r>
    <n v="116"/>
    <x v="15"/>
    <s v="Web Development"/>
    <s v="Pune"/>
  </r>
  <r>
    <n v="117"/>
    <x v="16"/>
    <s v="Software Development"/>
    <s v="Hyderabad"/>
  </r>
  <r>
    <n v="118"/>
    <x v="17"/>
    <s v="Cyber Security"/>
    <s v="Noida"/>
  </r>
  <r>
    <n v="119"/>
    <x v="18"/>
    <s v="Artificial Intelligence"/>
    <s v="Bangalore"/>
  </r>
  <r>
    <n v="120"/>
    <x v="19"/>
    <s v="Customer Support"/>
    <s v="Chennai"/>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n v="82"/>
    <n v="85"/>
    <n v="88"/>
    <x v="0"/>
  </r>
  <r>
    <n v="2"/>
    <n v="75"/>
    <n v="78"/>
    <n v="80"/>
    <x v="0"/>
  </r>
  <r>
    <n v="3"/>
    <n v="90"/>
    <n v="92"/>
    <n v="89"/>
    <x v="0"/>
  </r>
  <r>
    <n v="4"/>
    <n v="68"/>
    <n v="70"/>
    <n v="72"/>
    <x v="1"/>
  </r>
  <r>
    <n v="5"/>
    <n v="94"/>
    <n v="91"/>
    <n v="93"/>
    <x v="0"/>
  </r>
  <r>
    <n v="6"/>
    <n v="80"/>
    <n v="84"/>
    <n v="86"/>
    <x v="0"/>
  </r>
  <r>
    <n v="7"/>
    <n v="72"/>
    <n v="75"/>
    <n v="74"/>
    <x v="1"/>
  </r>
  <r>
    <n v="8"/>
    <n v="86"/>
    <n v="88"/>
    <n v="90"/>
    <x v="0"/>
  </r>
  <r>
    <n v="9"/>
    <n v="65"/>
    <n v="68"/>
    <n v="70"/>
    <x v="2"/>
  </r>
  <r>
    <n v="10"/>
    <n v="95"/>
    <n v="96"/>
    <n v="94"/>
    <x v="0"/>
  </r>
  <r>
    <n v="11"/>
    <n v="78"/>
    <n v="80"/>
    <n v="79"/>
    <x v="0"/>
  </r>
  <r>
    <n v="12"/>
    <n v="84"/>
    <n v="86"/>
    <n v="85"/>
    <x v="0"/>
  </r>
  <r>
    <n v="13"/>
    <n v="81"/>
    <n v="83"/>
    <n v="84"/>
    <x v="0"/>
  </r>
  <r>
    <n v="14"/>
    <n v="60"/>
    <n v="65"/>
    <n v="68"/>
    <x v="2"/>
  </r>
  <r>
    <n v="15"/>
    <n v="91"/>
    <n v="93"/>
    <n v="92"/>
    <x v="0"/>
  </r>
  <r>
    <n v="16"/>
    <n v="85"/>
    <n v="87"/>
    <n v="88"/>
    <x v="0"/>
  </r>
  <r>
    <n v="17"/>
    <n v="74"/>
    <n v="76"/>
    <n v="75"/>
    <x v="1"/>
  </r>
  <r>
    <n v="18"/>
    <n v="89"/>
    <n v="90"/>
    <n v="91"/>
    <x v="0"/>
  </r>
  <r>
    <n v="19"/>
    <n v="83"/>
    <n v="85"/>
    <n v="84"/>
    <x v="0"/>
  </r>
  <r>
    <n v="20"/>
    <n v="97"/>
    <n v="96"/>
    <n v="98"/>
    <x v="0"/>
  </r>
  <r>
    <n v="21"/>
    <n v="71"/>
    <n v="73"/>
    <n v="72"/>
    <x v="1"/>
  </r>
  <r>
    <n v="22"/>
    <n v="86"/>
    <n v="88"/>
    <n v="87"/>
    <x v="0"/>
  </r>
  <r>
    <n v="23"/>
    <n v="90"/>
    <n v="89"/>
    <n v="91"/>
    <x v="0"/>
  </r>
  <r>
    <n v="24"/>
    <n v="76"/>
    <n v="78"/>
    <n v="79"/>
    <x v="0"/>
  </r>
  <r>
    <n v="25"/>
    <n v="82"/>
    <n v="84"/>
    <n v="85"/>
    <x v="0"/>
  </r>
  <r>
    <n v="26"/>
    <n v="84"/>
    <n v="86"/>
    <n v="85"/>
    <x v="0"/>
  </r>
  <r>
    <n v="27"/>
    <n v="73"/>
    <n v="75"/>
    <n v="74"/>
    <x v="1"/>
  </r>
  <r>
    <n v="28"/>
    <n v="88"/>
    <n v="90"/>
    <n v="89"/>
    <x v="0"/>
  </r>
  <r>
    <n v="29"/>
    <n v="62"/>
    <n v="66"/>
    <n v="68"/>
    <x v="2"/>
  </r>
  <r>
    <n v="30"/>
    <n v="95"/>
    <n v="94"/>
    <n v="96"/>
    <x v="0"/>
  </r>
  <r>
    <n v="31"/>
    <n v="81"/>
    <n v="82"/>
    <n v="84"/>
    <x v="0"/>
  </r>
  <r>
    <n v="32"/>
    <n v="77"/>
    <n v="79"/>
    <n v="78"/>
    <x v="0"/>
  </r>
  <r>
    <n v="33"/>
    <n v="91"/>
    <n v="92"/>
    <n v="90"/>
    <x v="0"/>
  </r>
  <r>
    <n v="34"/>
    <n v="83"/>
    <n v="84"/>
    <n v="85"/>
    <x v="0"/>
  </r>
  <r>
    <n v="35"/>
    <n v="70"/>
    <n v="72"/>
    <n v="73"/>
    <x v="1"/>
  </r>
  <r>
    <n v="36"/>
    <n v="96"/>
    <n v="95"/>
    <n v="97"/>
    <x v="0"/>
  </r>
  <r>
    <n v="37"/>
    <n v="80"/>
    <n v="82"/>
    <n v="81"/>
    <x v="0"/>
  </r>
  <r>
    <n v="38"/>
    <n v="75"/>
    <n v="77"/>
    <n v="78"/>
    <x v="0"/>
  </r>
  <r>
    <n v="39"/>
    <n v="89"/>
    <n v="91"/>
    <n v="90"/>
    <x v="0"/>
  </r>
  <r>
    <n v="40"/>
    <n v="98"/>
    <n v="97"/>
    <n v="99"/>
    <x v="0"/>
  </r>
  <r>
    <n v="41"/>
    <n v="82"/>
    <n v="83"/>
    <n v="84"/>
    <x v="0"/>
  </r>
  <r>
    <n v="42"/>
    <n v="87"/>
    <n v="89"/>
    <n v="88"/>
    <x v="0"/>
  </r>
  <r>
    <n v="43"/>
    <n v="72"/>
    <n v="74"/>
    <n v="73"/>
    <x v="1"/>
  </r>
  <r>
    <n v="44"/>
    <n v="90"/>
    <n v="92"/>
    <n v="91"/>
    <x v="0"/>
  </r>
  <r>
    <n v="45"/>
    <n v="92"/>
    <n v="91"/>
    <n v="93"/>
    <x v="0"/>
  </r>
  <r>
    <n v="46"/>
    <n v="74"/>
    <n v="76"/>
    <n v="75"/>
    <x v="1"/>
  </r>
  <r>
    <n v="47"/>
    <n v="85"/>
    <n v="87"/>
    <n v="86"/>
    <x v="0"/>
  </r>
  <r>
    <n v="48"/>
    <n v="88"/>
    <n v="89"/>
    <n v="90"/>
    <x v="0"/>
  </r>
  <r>
    <n v="49"/>
    <n v="63"/>
    <n v="67"/>
    <n v="69"/>
    <x v="2"/>
  </r>
  <r>
    <n v="50"/>
    <n v="84"/>
    <n v="85"/>
    <n v="87"/>
    <x v="0"/>
  </r>
  <r>
    <n v="51"/>
    <n v="83"/>
    <n v="85"/>
    <n v="84"/>
    <x v="0"/>
  </r>
  <r>
    <n v="52"/>
    <n v="76"/>
    <n v="78"/>
    <n v="77"/>
    <x v="0"/>
  </r>
  <r>
    <n v="53"/>
    <n v="91"/>
    <n v="93"/>
    <n v="92"/>
    <x v="0"/>
  </r>
  <r>
    <n v="54"/>
    <n v="89"/>
    <n v="90"/>
    <n v="91"/>
    <x v="0"/>
  </r>
  <r>
    <n v="55"/>
    <n v="68"/>
    <n v="70"/>
    <n v="72"/>
    <x v="1"/>
  </r>
  <r>
    <n v="56"/>
    <n v="95"/>
    <n v="96"/>
    <n v="94"/>
    <x v="0"/>
  </r>
  <r>
    <n v="57"/>
    <n v="82"/>
    <n v="84"/>
    <n v="83"/>
    <x v="0"/>
  </r>
  <r>
    <n v="58"/>
    <n v="74"/>
    <n v="76"/>
    <n v="75"/>
    <x v="1"/>
  </r>
  <r>
    <n v="59"/>
    <n v="93"/>
    <n v="94"/>
    <n v="95"/>
    <x v="0"/>
  </r>
  <r>
    <n v="60"/>
    <n v="99"/>
    <n v="98"/>
    <n v="99"/>
    <x v="0"/>
  </r>
  <r>
    <n v="61"/>
    <n v="80"/>
    <n v="82"/>
    <n v="81"/>
    <x v="0"/>
  </r>
  <r>
    <n v="62"/>
    <n v="87"/>
    <n v="88"/>
    <n v="89"/>
    <x v="0"/>
  </r>
  <r>
    <n v="63"/>
    <n v="72"/>
    <n v="74"/>
    <n v="73"/>
    <x v="1"/>
  </r>
  <r>
    <n v="64"/>
    <n v="90"/>
    <n v="91"/>
    <n v="92"/>
    <x v="0"/>
  </r>
  <r>
    <n v="65"/>
    <n v="69"/>
    <n v="71"/>
    <n v="70"/>
    <x v="2"/>
  </r>
  <r>
    <n v="66"/>
    <n v="88"/>
    <n v="89"/>
    <n v="90"/>
    <x v="0"/>
  </r>
  <r>
    <n v="67"/>
    <n v="92"/>
    <n v="93"/>
    <n v="91"/>
    <x v="0"/>
  </r>
  <r>
    <n v="68"/>
    <n v="75"/>
    <n v="77"/>
    <n v="76"/>
    <x v="1"/>
  </r>
  <r>
    <n v="69"/>
    <n v="94"/>
    <n v="95"/>
    <n v="93"/>
    <x v="0"/>
  </r>
  <r>
    <n v="70"/>
    <n v="98"/>
    <n v="99"/>
    <n v="97"/>
    <x v="0"/>
  </r>
  <r>
    <n v="71"/>
    <n v="81"/>
    <n v="83"/>
    <n v="82"/>
    <x v="0"/>
  </r>
  <r>
    <n v="72"/>
    <n v="73"/>
    <n v="75"/>
    <n v="74"/>
    <x v="1"/>
  </r>
  <r>
    <n v="73"/>
    <n v="89"/>
    <n v="90"/>
    <n v="88"/>
    <x v="0"/>
  </r>
  <r>
    <n v="74"/>
    <n v="91"/>
    <n v="92"/>
    <n v="93"/>
    <x v="0"/>
  </r>
  <r>
    <n v="75"/>
    <n v="77"/>
    <n v="79"/>
    <n v="78"/>
    <x v="0"/>
  </r>
  <r>
    <n v="76"/>
    <n v="84"/>
    <n v="86"/>
    <n v="85"/>
    <x v="0"/>
  </r>
  <r>
    <n v="77"/>
    <n v="75"/>
    <n v="77"/>
    <n v="76"/>
    <x v="1"/>
  </r>
  <r>
    <n v="78"/>
    <n v="90"/>
    <n v="91"/>
    <n v="92"/>
    <x v="0"/>
  </r>
  <r>
    <n v="79"/>
    <n v="82"/>
    <n v="84"/>
    <n v="83"/>
    <x v="0"/>
  </r>
  <r>
    <n v="80"/>
    <n v="99"/>
    <n v="98"/>
    <n v="99"/>
    <x v="0"/>
  </r>
  <r>
    <n v="81"/>
    <n v="71"/>
    <n v="73"/>
    <n v="72"/>
    <x v="1"/>
  </r>
  <r>
    <n v="82"/>
    <n v="88"/>
    <n v="89"/>
    <n v="90"/>
    <x v="0"/>
  </r>
  <r>
    <n v="83"/>
    <n v="80"/>
    <n v="81"/>
    <n v="82"/>
    <x v="0"/>
  </r>
  <r>
    <n v="84"/>
    <n v="66"/>
    <n v="68"/>
    <n v="69"/>
    <x v="2"/>
  </r>
  <r>
    <n v="85"/>
    <n v="94"/>
    <n v="95"/>
    <n v="93"/>
    <x v="0"/>
  </r>
  <r>
    <n v="86"/>
    <n v="85"/>
    <n v="86"/>
    <n v="87"/>
    <x v="0"/>
  </r>
  <r>
    <n v="87"/>
    <n v="74"/>
    <n v="76"/>
    <n v="75"/>
    <x v="1"/>
  </r>
  <r>
    <n v="88"/>
    <n v="91"/>
    <n v="92"/>
    <n v="90"/>
    <x v="0"/>
  </r>
  <r>
    <n v="89"/>
    <n v="83"/>
    <n v="84"/>
    <n v="85"/>
    <x v="0"/>
  </r>
  <r>
    <n v="90"/>
    <n v="98"/>
    <n v="99"/>
    <n v="98"/>
    <x v="0"/>
  </r>
  <r>
    <n v="91"/>
    <n v="72"/>
    <n v="74"/>
    <n v="73"/>
    <x v="1"/>
  </r>
  <r>
    <n v="92"/>
    <n v="87"/>
    <n v="88"/>
    <n v="89"/>
    <x v="0"/>
  </r>
  <r>
    <n v="93"/>
    <n v="89"/>
    <n v="90"/>
    <n v="91"/>
    <x v="0"/>
  </r>
  <r>
    <n v="94"/>
    <n v="96"/>
    <n v="97"/>
    <n v="95"/>
    <x v="0"/>
  </r>
  <r>
    <n v="95"/>
    <n v="67"/>
    <n v="69"/>
    <n v="70"/>
    <x v="2"/>
  </r>
  <r>
    <n v="96"/>
    <n v="92"/>
    <n v="93"/>
    <n v="94"/>
    <x v="0"/>
  </r>
  <r>
    <n v="97"/>
    <n v="84"/>
    <n v="85"/>
    <n v="86"/>
    <x v="0"/>
  </r>
  <r>
    <n v="98"/>
    <n v="76"/>
    <n v="78"/>
    <n v="77"/>
    <x v="0"/>
  </r>
  <r>
    <n v="99"/>
    <n v="95"/>
    <n v="96"/>
    <n v="97"/>
    <x v="0"/>
  </r>
  <r>
    <n v="100"/>
    <n v="100"/>
    <n v="99"/>
    <n v="10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Arun Kumar"/>
    <s v="Anna University"/>
    <s v="Chennai"/>
    <n v="8.4"/>
    <n v="101"/>
    <s v="Data Analyst"/>
    <x v="0"/>
  </r>
  <r>
    <n v="2"/>
    <s v="Priya Sharma"/>
    <s v="SRM Institute of Science and Technology"/>
    <s v="Chennai"/>
    <n v="7.8"/>
    <n v="103"/>
    <s v="Power BI Developer"/>
    <x v="1"/>
  </r>
  <r>
    <n v="3"/>
    <s v="Karthik Raj"/>
    <s v="SSN College of Engineering"/>
    <s v="Chennai"/>
    <n v="8.9"/>
    <n v="102"/>
    <s v="SQL Developer"/>
    <x v="0"/>
  </r>
  <r>
    <n v="4"/>
    <s v="Divya S"/>
    <s v="VIT Chennai"/>
    <s v="Chennai"/>
    <n v="7.5"/>
    <n v="104"/>
    <s v="Business Analyst"/>
    <x v="1"/>
  </r>
  <r>
    <n v="5"/>
    <s v="Rahul Kumar"/>
    <s v="PSG College of Technology"/>
    <s v="Coimbatore"/>
    <n v="9.1"/>
    <n v="105"/>
    <s v="Python Developer"/>
    <x v="2"/>
  </r>
  <r>
    <n v="6"/>
    <s v="Ananya R"/>
    <s v="Sathyabama University"/>
    <s v="Chennai"/>
    <n v="8.1999999999999993"/>
    <n v="107"/>
    <s v="Full Stack Developer"/>
    <x v="0"/>
  </r>
  <r>
    <n v="7"/>
    <s v="Vignesh M"/>
    <s v="Kumaraguru College of Technology"/>
    <s v="Coimbatore"/>
    <n v="7.6"/>
    <n v="106"/>
    <s v="Java Developer"/>
    <x v="1"/>
  </r>
  <r>
    <n v="8"/>
    <s v="Keerthana P"/>
    <s v="Rajalakshmi Engineering College"/>
    <s v="Chennai"/>
    <n v="8.6999999999999993"/>
    <n v="108"/>
    <s v="QA Engineer"/>
    <x v="0"/>
  </r>
  <r>
    <n v="9"/>
    <s v="Sanjay K"/>
    <s v="Loyola College"/>
    <s v="Chennai"/>
    <n v="7.9"/>
    <n v="109"/>
    <s v="Cloud Support Engineer"/>
    <x v="1"/>
  </r>
  <r>
    <n v="10"/>
    <s v="Harini V"/>
    <s v="Amrita University"/>
    <s v="Coimbatore"/>
    <n v="9.3000000000000007"/>
    <n v="110"/>
    <s v="AI Engineer"/>
    <x v="2"/>
  </r>
  <r>
    <n v="11"/>
    <s v="Ajay Prakash"/>
    <s v="MIT Chennai"/>
    <s v="Chennai"/>
    <n v="7.2"/>
    <n v="111"/>
    <s v="Data Engineer"/>
    <x v="1"/>
  </r>
  <r>
    <n v="12"/>
    <s v="Nithya Devi"/>
    <s v="Hindustan Institute of Technology"/>
    <s v="Chennai"/>
    <n v="8.5"/>
    <n v="112"/>
    <s v="DevOps Engineer"/>
    <x v="0"/>
  </r>
  <r>
    <n v="13"/>
    <s v="Dinesh Kumar"/>
    <s v="Kongu Engineering College"/>
    <s v="Erode"/>
    <n v="8"/>
    <n v="113"/>
    <s v="Network Engineer"/>
    <x v="0"/>
  </r>
  <r>
    <n v="14"/>
    <s v="Swetha R"/>
    <s v="Saveetha Engineering College"/>
    <s v="Chennai"/>
    <n v="7.7"/>
    <n v="114"/>
    <s v="System Administrator"/>
    <x v="1"/>
  </r>
  <r>
    <n v="15"/>
    <s v="Vijay S"/>
    <s v="Anna University"/>
    <s v="Chennai"/>
    <n v="9"/>
    <n v="115"/>
    <s v="UI/UX Designer"/>
    <x v="2"/>
  </r>
  <r>
    <n v="16"/>
    <s v="Pooja K"/>
    <s v="SRM Institute of Science and Technology"/>
    <s v="Chennai"/>
    <n v="8.3000000000000007"/>
    <n v="116"/>
    <s v="Frontend Developer"/>
    <x v="0"/>
  </r>
  <r>
    <n v="17"/>
    <s v="Rohit Kumar"/>
    <s v="SSN College of Engineering"/>
    <s v="Chennai"/>
    <n v="7.4"/>
    <n v="117"/>
    <s v="Backend Developer"/>
    <x v="1"/>
  </r>
  <r>
    <n v="18"/>
    <s v="Meena Priya"/>
    <s v="VIT Chennai"/>
    <s v="Chennai"/>
    <n v="8.8000000000000007"/>
    <n v="118"/>
    <s v="Cyber Security Analyst"/>
    <x v="0"/>
  </r>
  <r>
    <n v="19"/>
    <s v="Surya Raj"/>
    <s v="PSG College of Technology"/>
    <s v="Coimbatore"/>
    <n v="8.1"/>
    <n v="119"/>
    <s v="Machine Learning Engineer"/>
    <x v="0"/>
  </r>
  <r>
    <n v="20"/>
    <s v="Kavya M"/>
    <s v="Sathyabama University"/>
    <s v="Chennai"/>
    <n v="9.1999999999999993"/>
    <n v="120"/>
    <s v="Technical Support Engineer"/>
    <x v="2"/>
  </r>
  <r>
    <n v="21"/>
    <s v="Arun Prasad"/>
    <s v="Kumaraguru College of Technology"/>
    <s v="Coimbatore"/>
    <n v="7.3"/>
    <n v="101"/>
    <s v="Data Analyst"/>
    <x v="1"/>
  </r>
  <r>
    <n v="22"/>
    <s v="Priya N"/>
    <s v="Rajalakshmi Engineering College"/>
    <s v="Chennai"/>
    <n v="8.6"/>
    <n v="102"/>
    <s v="SQL Developer"/>
    <x v="0"/>
  </r>
  <r>
    <n v="23"/>
    <s v="Karthik S"/>
    <s v="Loyola College"/>
    <s v="Chennai"/>
    <n v="8.9"/>
    <n v="103"/>
    <s v="Power BI Developer"/>
    <x v="0"/>
  </r>
  <r>
    <n v="24"/>
    <s v="Divya R"/>
    <s v="Amrita University"/>
    <s v="Coimbatore"/>
    <n v="7.8"/>
    <n v="104"/>
    <s v="Business Analyst"/>
    <x v="1"/>
  </r>
  <r>
    <n v="25"/>
    <s v="Rahul V"/>
    <s v="MIT Chennai"/>
    <s v="Chennai"/>
    <n v="8.4"/>
    <n v="105"/>
    <s v="Python Developer"/>
    <x v="0"/>
  </r>
  <r>
    <n v="26"/>
    <s v="Ananya Kumar"/>
    <s v="Hindustan Institute of Technology"/>
    <s v="Chennai"/>
    <n v="8.6999999999999993"/>
    <n v="106"/>
    <s v="Java Developer"/>
    <x v="0"/>
  </r>
  <r>
    <n v="27"/>
    <s v="Vignesh Raj"/>
    <s v="Kongu Engineering College"/>
    <s v="Erode"/>
    <n v="7.9"/>
    <n v="107"/>
    <s v="Full Stack Developer"/>
    <x v="1"/>
  </r>
  <r>
    <n v="28"/>
    <s v="Keerthana S"/>
    <s v="Saveetha Engineering College"/>
    <s v="Chennai"/>
    <n v="8.5"/>
    <n v="108"/>
    <s v="QA Engineer"/>
    <x v="0"/>
  </r>
  <r>
    <n v="29"/>
    <s v="Sanjay R"/>
    <s v="Anna University"/>
    <s v="Chennai"/>
    <n v="7.6"/>
    <n v="109"/>
    <s v="Cloud Support Engineer"/>
    <x v="1"/>
  </r>
  <r>
    <n v="30"/>
    <s v="Harini K"/>
    <s v="SRM Institute of Science and Technology"/>
    <s v="Chennai"/>
    <n v="9.1"/>
    <n v="110"/>
    <s v="AI Engineer"/>
    <x v="2"/>
  </r>
  <r>
    <n v="31"/>
    <s v="Ajay Kumar"/>
    <s v="SSN College of Engineering"/>
    <s v="Chennai"/>
    <n v="8.1999999999999993"/>
    <n v="111"/>
    <s v="Data Engineer"/>
    <x v="0"/>
  </r>
  <r>
    <n v="32"/>
    <s v="Nithya S"/>
    <s v="VIT Chennai"/>
    <s v="Chennai"/>
    <n v="7.8"/>
    <n v="112"/>
    <s v="DevOps Engineer"/>
    <x v="1"/>
  </r>
  <r>
    <n v="33"/>
    <s v="Dinesh Raj"/>
    <s v="PSG College of Technology"/>
    <s v="Coimbatore"/>
    <n v="8.9"/>
    <n v="113"/>
    <s v="Network Engineer"/>
    <x v="0"/>
  </r>
  <r>
    <n v="34"/>
    <s v="Swetha Devi"/>
    <s v="Amrita University"/>
    <s v="Coimbatore"/>
    <n v="8.3000000000000007"/>
    <n v="114"/>
    <s v="System Administrator"/>
    <x v="0"/>
  </r>
  <r>
    <n v="35"/>
    <s v="Vijay Kumar"/>
    <s v="MIT Chennai"/>
    <s v="Chennai"/>
    <n v="7.5"/>
    <n v="115"/>
    <s v="UI/UX Designer"/>
    <x v="1"/>
  </r>
  <r>
    <n v="36"/>
    <s v="Pooja R"/>
    <s v="Kumaraguru College of Technology"/>
    <s v="Coimbatore"/>
    <n v="9"/>
    <n v="116"/>
    <s v="Frontend Developer"/>
    <x v="2"/>
  </r>
  <r>
    <n v="37"/>
    <s v="Rohit S"/>
    <s v="Rajalakshmi Engineering College"/>
    <s v="Chennai"/>
    <n v="8.1"/>
    <n v="117"/>
    <s v="Backend Developer"/>
    <x v="0"/>
  </r>
  <r>
    <n v="38"/>
    <s v="Meena K"/>
    <s v="Loyola College"/>
    <s v="Chennai"/>
    <n v="7.7"/>
    <n v="118"/>
    <s v="Cyber Security Analyst"/>
    <x v="1"/>
  </r>
  <r>
    <n v="39"/>
    <s v="Surya Prakash"/>
    <s v="Sathyabama University"/>
    <s v="Chennai"/>
    <n v="8.8000000000000007"/>
    <n v="119"/>
    <s v="Machine Learning Engineer"/>
    <x v="0"/>
  </r>
  <r>
    <n v="40"/>
    <s v="Kavya R"/>
    <s v="Saveetha Engineering College"/>
    <s v="Chennai"/>
    <n v="9.4"/>
    <n v="120"/>
    <s v="Technical Support Engineer"/>
    <x v="2"/>
  </r>
  <r>
    <n v="41"/>
    <s v="Arun Raj"/>
    <s v="Anna University"/>
    <s v="Chennai"/>
    <n v="8"/>
    <n v="101"/>
    <s v="Data Analyst"/>
    <x v="0"/>
  </r>
  <r>
    <n v="42"/>
    <s v="Priya Devi"/>
    <s v="SRM Institute of Science and Technology"/>
    <s v="Chennai"/>
    <n v="8.6"/>
    <n v="102"/>
    <s v="SQL Developer"/>
    <x v="0"/>
  </r>
  <r>
    <n v="43"/>
    <s v="Karthik Kumar"/>
    <s v="SSN College of Engineering"/>
    <s v="Chennai"/>
    <n v="7.4"/>
    <n v="103"/>
    <s v="Power BI Developer"/>
    <x v="1"/>
  </r>
  <r>
    <n v="44"/>
    <s v="Divya Kumar"/>
    <s v="VIT Chennai"/>
    <s v="Chennai"/>
    <n v="8.9"/>
    <n v="104"/>
    <s v="Business Analyst"/>
    <x v="0"/>
  </r>
  <r>
    <n v="45"/>
    <s v="Rahul Raj"/>
    <s v="PSG College of Technology"/>
    <s v="Coimbatore"/>
    <n v="8.1999999999999993"/>
    <n v="105"/>
    <s v="Python Developer"/>
    <x v="0"/>
  </r>
  <r>
    <n v="46"/>
    <s v="Ananya Priya"/>
    <s v="Amrita University"/>
    <s v="Coimbatore"/>
    <n v="7.6"/>
    <n v="106"/>
    <s v="Java Developer"/>
    <x v="1"/>
  </r>
  <r>
    <n v="47"/>
    <s v="Vignesh Kumar"/>
    <s v="Kongu Engineering College"/>
    <s v="Erode"/>
    <n v="8.6999999999999993"/>
    <n v="107"/>
    <s v="Full Stack Developer"/>
    <x v="0"/>
  </r>
  <r>
    <n v="48"/>
    <s v="Keerthana Raj"/>
    <s v="Rajalakshmi Engineering College"/>
    <s v="Chennai"/>
    <n v="9"/>
    <n v="108"/>
    <s v="QA Engineer"/>
    <x v="2"/>
  </r>
  <r>
    <n v="49"/>
    <s v="Sanjay Kumar"/>
    <s v="Loyola College"/>
    <s v="Chennai"/>
    <n v="7.3"/>
    <n v="109"/>
    <s v="Cloud Support Engineer"/>
    <x v="1"/>
  </r>
  <r>
    <n v="50"/>
    <s v="Harini Raj"/>
    <s v="MIT Chennai"/>
    <s v="Chennai"/>
    <n v="8.5"/>
    <n v="110"/>
    <s v="AI Engineer"/>
    <x v="0"/>
  </r>
  <r>
    <n v="51"/>
    <s v="Ajay Raj"/>
    <s v="Hindustan Institute of Technology"/>
    <s v="Chennai"/>
    <n v="8.3000000000000007"/>
    <n v="111"/>
    <s v="Data Engineer"/>
    <x v="0"/>
  </r>
  <r>
    <n v="52"/>
    <s v="Nithya Kumar"/>
    <s v="Saveetha Engineering College"/>
    <s v="Chennai"/>
    <n v="7.8"/>
    <n v="112"/>
    <s v="DevOps Engineer"/>
    <x v="1"/>
  </r>
  <r>
    <n v="53"/>
    <s v="Dinesh S"/>
    <s v="Kongu Engineering College"/>
    <s v="Erode"/>
    <n v="8.6"/>
    <n v="113"/>
    <s v="Network Engineer"/>
    <x v="0"/>
  </r>
  <r>
    <n v="54"/>
    <s v="Swetha Kumar"/>
    <s v="PSG College of Technology"/>
    <s v="Coimbatore"/>
    <n v="9.1"/>
    <n v="114"/>
    <s v="System Administrator"/>
    <x v="2"/>
  </r>
  <r>
    <n v="55"/>
    <s v="Vijay Raj"/>
    <s v="Anna University"/>
    <s v="Chennai"/>
    <n v="7.5"/>
    <n v="115"/>
    <s v="UI/UX Designer"/>
    <x v="1"/>
  </r>
  <r>
    <n v="56"/>
    <s v="Pooja Devi"/>
    <s v="SRM Institute of Science and Technology"/>
    <s v="Chennai"/>
    <n v="8.8000000000000007"/>
    <n v="116"/>
    <s v="Frontend Developer"/>
    <x v="0"/>
  </r>
  <r>
    <n v="57"/>
    <s v="Rohit Kumar"/>
    <s v="SSN College of Engineering"/>
    <s v="Chennai"/>
    <n v="8"/>
    <n v="117"/>
    <s v="Backend Developer"/>
    <x v="0"/>
  </r>
  <r>
    <n v="58"/>
    <s v="Meena S"/>
    <s v="VIT Chennai"/>
    <s v="Chennai"/>
    <n v="7.7"/>
    <n v="118"/>
    <s v="Cyber Security Analyst"/>
    <x v="1"/>
  </r>
  <r>
    <n v="59"/>
    <s v="Surya Kumar"/>
    <s v="Amrita University"/>
    <s v="Coimbatore"/>
    <n v="9.1999999999999993"/>
    <n v="119"/>
    <s v="Machine Learning Engineer"/>
    <x v="2"/>
  </r>
  <r>
    <n v="60"/>
    <s v="Kavya Devi"/>
    <s v="Sathyabama University"/>
    <s v="Chennai"/>
    <n v="8.4"/>
    <n v="120"/>
    <s v="Technical Support Engineer"/>
    <x v="0"/>
  </r>
  <r>
    <n v="61"/>
    <s v="Arun Kumar S"/>
    <s v="MIT Chennai"/>
    <s v="Chennai"/>
    <n v="7.9"/>
    <n v="101"/>
    <s v="Data Analyst"/>
    <x v="1"/>
  </r>
  <r>
    <n v="62"/>
    <s v="Priya Raj"/>
    <s v="Loyola College"/>
    <s v="Chennai"/>
    <n v="8.6999999999999993"/>
    <n v="102"/>
    <s v="SQL Developer"/>
    <x v="0"/>
  </r>
  <r>
    <n v="63"/>
    <s v="Karthik Devi"/>
    <s v="Rajalakshmi Engineering College"/>
    <s v="Chennai"/>
    <n v="8.1"/>
    <n v="103"/>
    <s v="Power BI Developer"/>
    <x v="0"/>
  </r>
  <r>
    <n v="64"/>
    <s v="Divya Priya"/>
    <s v="Kumaraguru College of Technology"/>
    <s v="Coimbatore"/>
    <n v="9"/>
    <n v="104"/>
    <s v="Business Analyst"/>
    <x v="2"/>
  </r>
  <r>
    <n v="65"/>
    <s v="Rahul S"/>
    <s v="Kongu Engineering College"/>
    <s v="Erode"/>
    <n v="7.6"/>
    <n v="105"/>
    <s v="Python Developer"/>
    <x v="1"/>
  </r>
  <r>
    <n v="66"/>
    <s v="Ananya Devi"/>
    <s v="Saveetha Engineering College"/>
    <s v="Chennai"/>
    <n v="8.5"/>
    <n v="106"/>
    <s v="Java Developer"/>
    <x v="0"/>
  </r>
  <r>
    <n v="67"/>
    <s v="Vignesh Kumar S"/>
    <s v="Anna University"/>
    <s v="Chennai"/>
    <n v="8.9"/>
    <n v="107"/>
    <s v="Full Stack Developer"/>
    <x v="0"/>
  </r>
  <r>
    <n v="68"/>
    <s v="Keerthana Devi"/>
    <s v="SRM Institute of Science and Technology"/>
    <s v="Chennai"/>
    <n v="7.4"/>
    <n v="108"/>
    <s v="QA Engineer"/>
    <x v="1"/>
  </r>
  <r>
    <n v="69"/>
    <s v="Sanjay Prakash"/>
    <s v="SSN College of Engineering"/>
    <s v="Chennai"/>
    <n v="8.8000000000000007"/>
    <n v="109"/>
    <s v="Cloud Support Engineer"/>
    <x v="0"/>
  </r>
  <r>
    <n v="70"/>
    <s v="Harini S"/>
    <s v="VIT Chennai"/>
    <s v="Chennai"/>
    <n v="9.3000000000000007"/>
    <n v="110"/>
    <s v="AI Engineer"/>
    <x v="2"/>
  </r>
  <r>
    <n v="71"/>
    <s v="Ajay Kumar S"/>
    <s v="PSG College of Technology"/>
    <s v="Coimbatore"/>
    <n v="8.1999999999999993"/>
    <n v="111"/>
    <s v="Data Engineer"/>
    <x v="0"/>
  </r>
  <r>
    <n v="72"/>
    <s v="Nithya Raj"/>
    <s v="Amrita University"/>
    <s v="Coimbatore"/>
    <n v="7.9"/>
    <n v="112"/>
    <s v="DevOps Engineer"/>
    <x v="1"/>
  </r>
  <r>
    <n v="73"/>
    <s v="Dinesh Kumar S"/>
    <s v="MIT Chennai"/>
    <s v="Chennai"/>
    <n v="8.6"/>
    <n v="113"/>
    <s v="Network Engineer"/>
    <x v="0"/>
  </r>
  <r>
    <n v="74"/>
    <s v="Swetha Priya"/>
    <s v="Loyola College"/>
    <s v="Chennai"/>
    <n v="9.1"/>
    <n v="114"/>
    <s v="System Administrator"/>
    <x v="2"/>
  </r>
  <r>
    <n v="75"/>
    <s v="Vijay Kumar S"/>
    <s v="Sathyabama University"/>
    <s v="Chennai"/>
    <n v="7.8"/>
    <n v="115"/>
    <s v="UI/UX Designer"/>
    <x v="1"/>
  </r>
  <r>
    <n v="76"/>
    <s v="Pooja Kumar"/>
    <s v="Rajalakshmi Engineering College"/>
    <s v="Chennai"/>
    <n v="8.4"/>
    <n v="116"/>
    <s v="Frontend Developer"/>
    <x v="0"/>
  </r>
  <r>
    <n v="77"/>
    <s v="Rohit Raj"/>
    <s v="Kumaraguru College of Technology"/>
    <s v="Coimbatore"/>
    <n v="7.7"/>
    <n v="117"/>
    <s v="Backend Developer"/>
    <x v="1"/>
  </r>
  <r>
    <n v="78"/>
    <s v="Meena Devi"/>
    <s v="Kongu Engineering College"/>
    <s v="Erode"/>
    <n v="8.9"/>
    <n v="118"/>
    <s v="Cyber Security Analyst"/>
    <x v="0"/>
  </r>
  <r>
    <n v="79"/>
    <s v="Surya S"/>
    <s v="Saveetha Engineering College"/>
    <s v="Chennai"/>
    <n v="8.1"/>
    <n v="119"/>
    <s v="Machine Learning Engineer"/>
    <x v="0"/>
  </r>
  <r>
    <n v="80"/>
    <s v="Kavya Kumar"/>
    <s v="Anna University"/>
    <s v="Chennai"/>
    <n v="9.1999999999999993"/>
    <n v="120"/>
    <s v="Technical Support Engineer"/>
    <x v="2"/>
  </r>
  <r>
    <n v="81"/>
    <s v="Arun Prakash"/>
    <s v="SRM Institute of Science and Technology"/>
    <s v="Chennai"/>
    <n v="7.6"/>
    <n v="101"/>
    <s v="Data Analyst"/>
    <x v="1"/>
  </r>
  <r>
    <n v="82"/>
    <s v="Priya Kumar"/>
    <s v="SSN College of Engineering"/>
    <s v="Chennai"/>
    <n v="8.8000000000000007"/>
    <n v="102"/>
    <s v="SQL Developer"/>
    <x v="0"/>
  </r>
  <r>
    <n v="83"/>
    <s v="Karthik Raj S"/>
    <s v="VIT Chennai"/>
    <s v="Chennai"/>
    <n v="8.3000000000000007"/>
    <n v="103"/>
    <s v="Power BI Developer"/>
    <x v="0"/>
  </r>
  <r>
    <n v="84"/>
    <s v="Divya Devi"/>
    <s v="PSG College of Technology"/>
    <s v="Coimbatore"/>
    <n v="7.9"/>
    <n v="104"/>
    <s v="Business Analyst"/>
    <x v="1"/>
  </r>
  <r>
    <n v="85"/>
    <s v="Rahul Prakash"/>
    <s v="Amrita University"/>
    <s v="Coimbatore"/>
    <n v="9"/>
    <n v="105"/>
    <s v="Python Developer"/>
    <x v="2"/>
  </r>
  <r>
    <n v="86"/>
    <s v="Ananya S"/>
    <s v="MIT Chennai"/>
    <s v="Chennai"/>
    <n v="8.5"/>
    <n v="106"/>
    <s v="Java Developer"/>
    <x v="0"/>
  </r>
  <r>
    <n v="87"/>
    <s v="Vignesh Prakash"/>
    <s v="Hindustan Institute of Technology"/>
    <s v="Chennai"/>
    <n v="7.4"/>
    <n v="107"/>
    <s v="Full Stack Developer"/>
    <x v="1"/>
  </r>
  <r>
    <n v="88"/>
    <s v="Keerthana Kumar"/>
    <s v="Loyola College"/>
    <s v="Chennai"/>
    <n v="8.6999999999999993"/>
    <n v="108"/>
    <s v="QA Engineer"/>
    <x v="0"/>
  </r>
  <r>
    <n v="89"/>
    <s v="Sanjay S"/>
    <s v="Sathyabama University"/>
    <s v="Chennai"/>
    <n v="8.1999999999999993"/>
    <n v="109"/>
    <s v="Cloud Support Engineer"/>
    <x v="0"/>
  </r>
  <r>
    <n v="90"/>
    <s v="Harini Devi"/>
    <s v="Rajalakshmi Engineering College"/>
    <s v="Chennai"/>
    <n v="9.1"/>
    <n v="110"/>
    <s v="AI Engineer"/>
    <x v="2"/>
  </r>
  <r>
    <n v="91"/>
    <s v="Ajay Prakash S"/>
    <s v="Kumaraguru College of Technology"/>
    <s v="Coimbatore"/>
    <n v="7.8"/>
    <n v="111"/>
    <s v="Data Engineer"/>
    <x v="1"/>
  </r>
  <r>
    <n v="92"/>
    <s v="Nithya Priya"/>
    <s v="Kongu Engineering College"/>
    <s v="Erode"/>
    <n v="8.6"/>
    <n v="112"/>
    <s v="DevOps Engineer"/>
    <x v="0"/>
  </r>
  <r>
    <n v="93"/>
    <s v="Dinesh Kumar R"/>
    <s v="Saveetha Engineering College"/>
    <s v="Chennai"/>
    <n v="8"/>
    <n v="113"/>
    <s v="Network Engineer"/>
    <x v="0"/>
  </r>
  <r>
    <n v="94"/>
    <s v="Swetha S"/>
    <s v="Anna University"/>
    <s v="Chennai"/>
    <n v="9.3000000000000007"/>
    <n v="114"/>
    <s v="System Administrator"/>
    <x v="2"/>
  </r>
  <r>
    <n v="95"/>
    <s v="Vijay Prakash"/>
    <s v="SRM Institute of Science and Technology"/>
    <s v="Chennai"/>
    <n v="7.5"/>
    <n v="115"/>
    <s v="UI/UX Designer"/>
    <x v="1"/>
  </r>
  <r>
    <n v="96"/>
    <s v="Pooja Devi S"/>
    <s v="SSN College of Engineering"/>
    <s v="Chennai"/>
    <n v="8.9"/>
    <n v="116"/>
    <s v="Frontend Developer"/>
    <x v="0"/>
  </r>
  <r>
    <n v="97"/>
    <s v="Rohit Kumar S"/>
    <s v="VIT Chennai"/>
    <s v="Chennai"/>
    <n v="8.4"/>
    <n v="117"/>
    <s v="Backend Developer"/>
    <x v="0"/>
  </r>
  <r>
    <n v="98"/>
    <s v="Meena Priya S"/>
    <s v="PSG College of Technology"/>
    <s v="Coimbatore"/>
    <n v="7.7"/>
    <n v="118"/>
    <s v="Cyber Security Analyst"/>
    <x v="1"/>
  </r>
  <r>
    <n v="99"/>
    <s v="Surya Raj S"/>
    <s v="Amrita University"/>
    <s v="Coimbatore"/>
    <n v="9.1999999999999993"/>
    <n v="119"/>
    <s v="Machine Learning Engineer"/>
    <x v="2"/>
  </r>
  <r>
    <n v="100"/>
    <s v="Kavya Priya"/>
    <s v="MIT Chennai"/>
    <s v="Chennai"/>
    <n v="8.8000000000000007"/>
    <n v="120"/>
    <s v="Technical Support Enginee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DD0E97-525B-475C-AE6B-7DC56A3011C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8">
    <pivotField dataField="1" showAll="0"/>
    <pivotField showAll="0"/>
    <pivotField showAll="0"/>
    <pivotField showAll="0"/>
    <pivotField showAll="0"/>
    <pivotField showAll="0"/>
    <pivotField showAll="0"/>
    <pivotField axis="axisRow" showAll="0">
      <items count="4">
        <item x="1"/>
        <item x="0"/>
        <item x="2"/>
        <item t="default"/>
      </items>
    </pivotField>
  </pivotFields>
  <rowFields count="1">
    <field x="7"/>
  </rowFields>
  <rowItems count="4">
    <i>
      <x/>
    </i>
    <i>
      <x v="1"/>
    </i>
    <i>
      <x v="2"/>
    </i>
    <i t="grand">
      <x/>
    </i>
  </rowItems>
  <colItems count="1">
    <i/>
  </colItems>
  <dataFields count="1">
    <dataField name="Count of Candidate_ID" fld="0" subtotal="count" baseField="7"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4ED5A9-90DD-4577-B000-394D40A8C2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8" firstHeaderRow="1" firstDataRow="1" firstDataCol="1"/>
  <pivotFields count="6">
    <pivotField dataField="1" showAll="0"/>
    <pivotField showAll="0"/>
    <pivotField axis="axisRow" showAll="0">
      <items count="15">
        <item x="9"/>
        <item x="0"/>
        <item x="11"/>
        <item x="12"/>
        <item x="6"/>
        <item x="8"/>
        <item x="10"/>
        <item x="4"/>
        <item x="7"/>
        <item x="5"/>
        <item x="13"/>
        <item x="1"/>
        <item x="2"/>
        <item x="3"/>
        <item t="default"/>
      </items>
    </pivotField>
    <pivotField showAll="0"/>
    <pivotField showAll="0"/>
    <pivotField showAll="0"/>
  </pivotFields>
  <rowFields count="1">
    <field x="2"/>
  </rowFields>
  <rowItems count="15">
    <i>
      <x/>
    </i>
    <i>
      <x v="1"/>
    </i>
    <i>
      <x v="2"/>
    </i>
    <i>
      <x v="3"/>
    </i>
    <i>
      <x v="4"/>
    </i>
    <i>
      <x v="5"/>
    </i>
    <i>
      <x v="6"/>
    </i>
    <i>
      <x v="7"/>
    </i>
    <i>
      <x v="8"/>
    </i>
    <i>
      <x v="9"/>
    </i>
    <i>
      <x v="10"/>
    </i>
    <i>
      <x v="11"/>
    </i>
    <i>
      <x v="12"/>
    </i>
    <i>
      <x v="13"/>
    </i>
    <i t="grand">
      <x/>
    </i>
  </rowItems>
  <colItems count="1">
    <i/>
  </colItems>
  <dataFields count="1">
    <dataField name="Count of Candidate_ID" fld="0" subtotal="count" baseField="2" baseItem="7"/>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D22959-264C-47D4-A69F-D41B7D2525C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4" firstHeaderRow="1" firstDataRow="1" firstDataCol="1"/>
  <pivotFields count="4">
    <pivotField dataField="1" showAll="0"/>
    <pivotField axis="axisRow" showAll="0">
      <items count="21">
        <item x="9"/>
        <item x="16"/>
        <item x="3"/>
        <item x="8"/>
        <item x="17"/>
        <item x="0"/>
        <item x="10"/>
        <item x="11"/>
        <item x="15"/>
        <item x="6"/>
        <item x="5"/>
        <item x="18"/>
        <item x="12"/>
        <item x="2"/>
        <item x="4"/>
        <item x="7"/>
        <item x="1"/>
        <item x="13"/>
        <item x="19"/>
        <item x="14"/>
        <item t="default"/>
      </items>
    </pivotField>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Job_ID" fld="0" subtotal="count" baseField="1"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9596A0-51BC-4B7B-92A6-153E458BA5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6">
    <pivotField dataField="1" showAll="0"/>
    <pivotField showAll="0"/>
    <pivotField showAll="0">
      <items count="15">
        <item x="9"/>
        <item x="0"/>
        <item x="11"/>
        <item x="12"/>
        <item x="6"/>
        <item x="8"/>
        <item x="10"/>
        <item x="4"/>
        <item x="7"/>
        <item x="5"/>
        <item x="13"/>
        <item x="1"/>
        <item x="2"/>
        <item x="3"/>
        <item t="default"/>
      </items>
    </pivotField>
    <pivotField showAll="0"/>
    <pivotField showAll="0"/>
    <pivotField axis="axisRow" showAll="0">
      <items count="21">
        <item x="0"/>
        <item x="2"/>
        <item x="1"/>
        <item x="3"/>
        <item x="4"/>
        <item x="6"/>
        <item x="5"/>
        <item x="7"/>
        <item x="8"/>
        <item x="9"/>
        <item x="10"/>
        <item x="11"/>
        <item x="12"/>
        <item x="13"/>
        <item x="14"/>
        <item x="15"/>
        <item x="16"/>
        <item x="17"/>
        <item x="18"/>
        <item x="19"/>
        <item t="default"/>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Candidate_ID" fld="0" subtotal="count" baseField="5"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6A8D51-7774-495A-84EE-49E83C9E4FE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5">
    <pivotField dataField="1" showAll="0"/>
    <pivotField showAll="0"/>
    <pivotField showAll="0"/>
    <pivotField showAll="0"/>
    <pivotField axis="axisRow" showAll="0">
      <items count="4">
        <item x="1"/>
        <item x="2"/>
        <item x="0"/>
        <item t="default"/>
      </items>
    </pivotField>
  </pivotFields>
  <rowFields count="1">
    <field x="4"/>
  </rowFields>
  <rowItems count="4">
    <i>
      <x/>
    </i>
    <i>
      <x v="1"/>
    </i>
    <i>
      <x v="2"/>
    </i>
    <i t="grand">
      <x/>
    </i>
  </rowItems>
  <colItems count="1">
    <i/>
  </colItems>
  <dataFields count="1">
    <dataField name="Count of Candidate_ID" fld="0" subtotal="count" baseField="4" baseItem="1"/>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4FA5B9-9E5E-472A-B385-D6FFEE33370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5">
    <pivotField showAll="0"/>
    <pivotField dataField="1" showAll="0"/>
    <pivotField showAll="0"/>
    <pivotField showAll="0"/>
    <pivotField axis="axisRow" showAll="0">
      <items count="4">
        <item x="1"/>
        <item x="2"/>
        <item x="0"/>
        <item t="default"/>
      </items>
    </pivotField>
  </pivotFields>
  <rowFields count="1">
    <field x="4"/>
  </rowFields>
  <rowItems count="4">
    <i>
      <x/>
    </i>
    <i>
      <x v="1"/>
    </i>
    <i>
      <x v="2"/>
    </i>
    <i t="grand">
      <x/>
    </i>
  </rowItems>
  <colItems count="1">
    <i/>
  </colItems>
  <dataFields count="1">
    <dataField name="Average of Aptitude_Score" fld="1" subtotal="average" baseField="4"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8D4A420A-4CD4-45BB-B711-AD8AA59A4B8F}" autoFormatId="16" applyNumberFormats="0" applyBorderFormats="0" applyFontFormats="0" applyPatternFormats="0" applyAlignmentFormats="0" applyWidthHeightFormats="0">
  <queryTableRefresh nextId="5">
    <queryTableFields count="4">
      <queryTableField id="1" name="Job_ID" tableColumnId="1"/>
      <queryTableField id="2" name="Job_Role" tableColumnId="2"/>
      <queryTableField id="3" name="Department" tableColumnId="3"/>
      <queryTableField id="4" name="Locatio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3E54BD68-7212-494C-85C1-3144CFD5FBF9}" autoFormatId="16" applyNumberFormats="0" applyBorderFormats="0" applyFontFormats="0" applyPatternFormats="0" applyAlignmentFormats="0" applyWidthHeightFormats="0">
  <queryTableRefresh nextId="8">
    <queryTableFields count="6">
      <queryTableField id="1" name="Candidate_ID" tableColumnId="1"/>
      <queryTableField id="2" name="Candidate_Name" tableColumnId="2"/>
      <queryTableField id="3" name="College" tableColumnId="3"/>
      <queryTableField id="4" name="Location" tableColumnId="4"/>
      <queryTableField id="5" name="CGPA" tableColumnId="5"/>
      <queryTableField id="6" name="Job_ID"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46E312D5-7997-4E2C-AA7A-34D94F2344D8}" autoFormatId="16" applyNumberFormats="0" applyBorderFormats="0" applyFontFormats="0" applyPatternFormats="0" applyAlignmentFormats="0" applyWidthHeightFormats="0">
  <queryTableRefresh nextId="15" unboundColumnsRight="2">
    <queryTableFields count="8">
      <queryTableField id="1" name="Candidate_ID" tableColumnId="1"/>
      <queryTableField id="2" name="Candidate_Name" tableColumnId="2"/>
      <queryTableField id="3" name="College" tableColumnId="3"/>
      <queryTableField id="4" name="Location" tableColumnId="4"/>
      <queryTableField id="5" name="CGPA" tableColumnId="5"/>
      <queryTableField id="6" name="Job_ID" tableColumnId="6"/>
      <queryTableField id="8" dataBound="0" tableColumnId="7"/>
      <queryTableField id="9" dataBound="0"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973A194A-C661-4893-A322-22FE9B97FD27}" autoFormatId="16" applyNumberFormats="0" applyBorderFormats="0" applyFontFormats="0" applyPatternFormats="0" applyAlignmentFormats="0" applyWidthHeightFormats="0">
  <queryTableRefresh nextId="8">
    <queryTableFields count="7">
      <queryTableField id="1" name="Candidate_ID" tableColumnId="1"/>
      <queryTableField id="2" name="SQL_Skills" tableColumnId="2"/>
      <queryTableField id="3" name="Python_Skills" tableColumnId="3"/>
      <queryTableField id="4" name="Excel_Skills" tableColumnId="4"/>
      <queryTableField id="5" name="PowerBi_Skills" tableColumnId="5"/>
      <queryTableField id="6" name="Communication_Skills" tableColumnId="6"/>
      <queryTableField id="7" name="ProblemSolving_Skills"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4" xr16:uid="{EE9D7639-285A-466B-8864-8E5B13DCC15C}" autoFormatId="16" applyNumberFormats="0" applyBorderFormats="0" applyFontFormats="0" applyPatternFormats="0" applyAlignmentFormats="0" applyWidthHeightFormats="0">
  <queryTableRefresh nextId="6">
    <queryTableFields count="5">
      <queryTableField id="1" name="Candidate_ID" tableColumnId="1"/>
      <queryTableField id="2" name="Aptitude_Score" tableColumnId="2"/>
      <queryTableField id="3" name="Technical_Score" tableColumnId="3"/>
      <queryTableField id="4" name="HR_Score" tableColumnId="4"/>
      <queryTableField id="5" name="Final_Result"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Result" xr10:uid="{54218AE6-6E63-4D49-A8C3-32492EA2809E}" sourceName="Final_Result">
  <pivotTables>
    <pivotTable tabId="16" name="PivotTable4"/>
    <pivotTable tabId="17" name="PivotTable5"/>
  </pivotTables>
  <data>
    <tabular pivotCacheId="128046912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lege" xr10:uid="{4497F567-19CA-4A05-BB8C-08E5B0108CE3}" sourceName="College">
  <pivotTables>
    <pivotTable tabId="13" name="PivotTable1"/>
    <pivotTable tabId="15" name="PivotTable3"/>
  </pivotTables>
  <data>
    <tabular pivotCacheId="1384180180">
      <items count="14">
        <i x="9" s="1"/>
        <i x="0" s="1"/>
        <i x="11" s="1"/>
        <i x="12" s="1"/>
        <i x="6" s="1"/>
        <i x="8" s="1"/>
        <i x="10" s="1"/>
        <i x="4" s="1"/>
        <i x="7" s="1"/>
        <i x="5" s="1"/>
        <i x="13"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EE2A7FEC-C22A-4354-9FA2-7EBB6B8514E1}" sourceName="Job_Role">
  <pivotTables>
    <pivotTable tabId="14" name="PivotTable2"/>
  </pivotTables>
  <data>
    <tabular pivotCacheId="763304036">
      <items count="20">
        <i x="9" s="1"/>
        <i x="16" s="1"/>
        <i x="3" s="1"/>
        <i x="8" s="1"/>
        <i x="17" s="1"/>
        <i x="0" s="1"/>
        <i x="10" s="1"/>
        <i x="11" s="1"/>
        <i x="15" s="1"/>
        <i x="6" s="1"/>
        <i x="5" s="1"/>
        <i x="18" s="1"/>
        <i x="12" s="1"/>
        <i x="2" s="1"/>
        <i x="4" s="1"/>
        <i x="7" s="1"/>
        <i x="1" s="1"/>
        <i x="13" s="1"/>
        <i x="19"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_Result" xr10:uid="{00C88068-28C6-4F4F-8A2D-0D9B942B5524}" cache="Slicer_Final_Result" caption="Final_Result" rowHeight="247650"/>
  <slicer name="College" xr10:uid="{11E7E93D-5748-4F2C-AD9F-FCC1B4AF7169}" cache="Slicer_College" caption="College" rowHeight="247650"/>
  <slicer name="Job_Role" xr10:uid="{AA8DBEE7-17FD-42E0-A8AC-A7ECED5E2AF4}" cache="Slicer_Job_Role" caption="Job_Rol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3E07DF7-3E2B-488E-9FBF-9437A83C1E20}" name="job_details" displayName="job_details" ref="A1:D21" tableType="queryTable" totalsRowShown="0">
  <autoFilter ref="A1:D21" xr:uid="{53E07DF7-3E2B-488E-9FBF-9437A83C1E20}"/>
  <tableColumns count="4">
    <tableColumn id="1" xr3:uid="{7393D93A-923C-4498-9D22-655CCDCE8908}" uniqueName="1" name="Job_ID" queryTableFieldId="1"/>
    <tableColumn id="2" xr3:uid="{CD546038-F0CD-4240-B692-9282B4F31770}" uniqueName="2" name="Job_Role" queryTableFieldId="2" dataDxfId="11"/>
    <tableColumn id="3" xr3:uid="{3E11B1EC-EC51-450A-95C1-17C9AEEC300C}" uniqueName="3" name="Department" queryTableFieldId="3" dataDxfId="10"/>
    <tableColumn id="4" xr3:uid="{D44E3AB5-3AA1-406E-8BCA-5559E9F9DF53}" uniqueName="4" name="Location" queryTableFieldId="4"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A66FF8C-EE86-4489-8B34-28B0165997A9}" name="candidate_details" displayName="candidate_details" ref="A1:F101" tableType="queryTable" totalsRowShown="0">
  <autoFilter ref="A1:F101" xr:uid="{EA66FF8C-EE86-4489-8B34-28B0165997A9}"/>
  <tableColumns count="6">
    <tableColumn id="1" xr3:uid="{96313613-B55A-4F9A-9477-068EECF89F39}" uniqueName="1" name="Candidate_ID" queryTableFieldId="1"/>
    <tableColumn id="2" xr3:uid="{21D49777-0E06-4FB9-A004-B5395CA96E28}" uniqueName="2" name="Candidate_Name" queryTableFieldId="2" dataDxfId="8"/>
    <tableColumn id="3" xr3:uid="{9B369FB5-E396-4A59-9014-4F70AB812B68}" uniqueName="3" name="College" queryTableFieldId="3" dataDxfId="7"/>
    <tableColumn id="4" xr3:uid="{D316B530-7BF7-45D4-B0F9-4E95B726DED8}" uniqueName="4" name="Location" queryTableFieldId="4" dataDxfId="6"/>
    <tableColumn id="5" xr3:uid="{4EBF593A-FA9F-4EF2-9F74-B5E620BD8518}" uniqueName="5" name="CGPA" queryTableFieldId="5"/>
    <tableColumn id="6" xr3:uid="{2E5603BD-075D-41C3-83FB-F55463B2A0C5}" uniqueName="6" name="Job_ID"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0B39E7-3A86-4774-831D-DEECA74DDC5E}" name="candidate_details2" displayName="candidate_details2" ref="A1:H101" tableType="queryTable" totalsRowShown="0">
  <autoFilter ref="A1:H101" xr:uid="{520B39E7-3A86-4774-831D-DEECA74DDC5E}"/>
  <tableColumns count="8">
    <tableColumn id="1" xr3:uid="{9B47E803-4342-4D26-AFE2-9EE43D6EF14C}" uniqueName="1" name="Candidate_ID" queryTableFieldId="1"/>
    <tableColumn id="2" xr3:uid="{7409CF2F-623E-4515-B1C7-BF4AED951DBA}" uniqueName="2" name="Candidate_Name" queryTableFieldId="2" dataDxfId="5"/>
    <tableColumn id="3" xr3:uid="{84169FBA-61D5-4426-83FD-BB8F176C3A4E}" uniqueName="3" name="College" queryTableFieldId="3" dataDxfId="4"/>
    <tableColumn id="4" xr3:uid="{53C54C63-22AE-44A5-A80A-E6C38FCEB4F0}" uniqueName="4" name="Location" queryTableFieldId="4" dataDxfId="3"/>
    <tableColumn id="5" xr3:uid="{94009FAA-B22D-4C35-84CE-58E3E8F94DE0}" uniqueName="5" name="CGPA" queryTableFieldId="5"/>
    <tableColumn id="6" xr3:uid="{D4B1B08D-8A3A-4A15-A1E1-B84C633FBA19}" uniqueName="6" name="Job_ID" queryTableFieldId="6"/>
    <tableColumn id="7" xr3:uid="{F0B0887C-2E1C-4FA3-B723-1B44A492EB29}" uniqueName="7" name="Job_Roles" queryTableFieldId="8" dataDxfId="2">
      <calculatedColumnFormula>_xlfn.XLOOKUP(F2,job_details!$A:$A,job_details!$B:$B)</calculatedColumnFormula>
    </tableColumn>
    <tableColumn id="8" xr3:uid="{CECEE340-77EA-44EC-A0EE-5A27988ED69F}" uniqueName="8" name="CGPA_Range" queryTableFieldId="9" dataDxfId="1">
      <calculatedColumnFormula>IF(E2&gt;=9,"9-10",IF(E2&gt;=8,"8-8.9",IF(E2&gt;=7,"7-7.9","Below 7")))</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B61832A-1B0B-4753-8DE8-627DE9ACA999}" name="candidate_skills" displayName="candidate_skills" ref="A1:G101" tableType="queryTable" totalsRowShown="0">
  <autoFilter ref="A1:G101" xr:uid="{AB61832A-1B0B-4753-8DE8-627DE9ACA999}"/>
  <tableColumns count="7">
    <tableColumn id="1" xr3:uid="{241865B2-F9E8-412E-8748-2CFA706A39C1}" uniqueName="1" name="Candidate_ID" queryTableFieldId="1"/>
    <tableColumn id="2" xr3:uid="{3AFB8FA4-E668-41C9-887A-260DC2FD1F29}" uniqueName="2" name="SQL_Skills" queryTableFieldId="2"/>
    <tableColumn id="3" xr3:uid="{A2D5FB5B-413D-4C94-A204-045920177E08}" uniqueName="3" name="Python_Skills" queryTableFieldId="3"/>
    <tableColumn id="4" xr3:uid="{CA81FAB2-BDEC-4B93-8F41-498ECB0550FF}" uniqueName="4" name="Excel_Skills" queryTableFieldId="4"/>
    <tableColumn id="5" xr3:uid="{C2F1901F-C020-4845-81EF-4F2C5DE452A7}" uniqueName="5" name="PowerBi_Skills" queryTableFieldId="5"/>
    <tableColumn id="6" xr3:uid="{826A0AF6-8BED-4351-AF8C-5440F74C014C}" uniqueName="6" name="Communication_Skills" queryTableFieldId="6"/>
    <tableColumn id="7" xr3:uid="{61675F78-FEAA-471E-942A-310D964D701B}" uniqueName="7" name="ProblemSolving_Skills"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9C57A-D714-430F-B5E7-3B00AD0705D1}" name="interview_results" displayName="interview_results" ref="A1:E101" tableType="queryTable" totalsRowShown="0">
  <autoFilter ref="A1:E101" xr:uid="{AA99C57A-D714-430F-B5E7-3B00AD0705D1}"/>
  <tableColumns count="5">
    <tableColumn id="1" xr3:uid="{394E03F3-CEFE-4F17-91B6-2BE8F94E52C1}" uniqueName="1" name="Candidate_ID" queryTableFieldId="1"/>
    <tableColumn id="2" xr3:uid="{6B42477C-707A-4A6B-A2AD-E82FBDD0D703}" uniqueName="2" name="Aptitude_Score" queryTableFieldId="2"/>
    <tableColumn id="3" xr3:uid="{DF9B61EA-61B9-4730-A75D-57FD24B8671F}" uniqueName="3" name="Technical_Score" queryTableFieldId="3"/>
    <tableColumn id="4" xr3:uid="{E2CAD920-2EEC-4BD2-B62F-88FFFCA9E9AE}" uniqueName="4" name="HR_Score" queryTableFieldId="4"/>
    <tableColumn id="5" xr3:uid="{A2063347-06A9-482C-BDDA-2C685C0BFBFA}" uniqueName="5" name="Final_Result"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9AFB-A931-44BF-A2AC-E53F44AD8F8F}">
  <dimension ref="A1:D21"/>
  <sheetViews>
    <sheetView workbookViewId="0">
      <selection activeCell="B11" sqref="B11"/>
    </sheetView>
  </sheetViews>
  <sheetFormatPr defaultRowHeight="14.4" x14ac:dyDescent="0.3"/>
  <cols>
    <col min="1" max="1" width="8.5546875" bestFit="1" customWidth="1"/>
    <col min="2" max="2" width="23" bestFit="1" customWidth="1"/>
    <col min="3" max="3" width="19.21875" bestFit="1" customWidth="1"/>
    <col min="4" max="4" width="10.33203125" bestFit="1" customWidth="1"/>
  </cols>
  <sheetData>
    <row r="1" spans="1:4" x14ac:dyDescent="0.3">
      <c r="A1" t="s">
        <v>0</v>
      </c>
      <c r="B1" t="s">
        <v>1</v>
      </c>
      <c r="C1" t="s">
        <v>2</v>
      </c>
      <c r="D1" t="s">
        <v>3</v>
      </c>
    </row>
    <row r="2" spans="1:4" x14ac:dyDescent="0.3">
      <c r="A2">
        <v>101</v>
      </c>
      <c r="B2" t="s">
        <v>4</v>
      </c>
      <c r="C2" t="s">
        <v>5</v>
      </c>
      <c r="D2" t="s">
        <v>6</v>
      </c>
    </row>
    <row r="3" spans="1:4" x14ac:dyDescent="0.3">
      <c r="A3">
        <v>102</v>
      </c>
      <c r="B3" t="s">
        <v>7</v>
      </c>
      <c r="C3" t="s">
        <v>8</v>
      </c>
      <c r="D3" t="s">
        <v>9</v>
      </c>
    </row>
    <row r="4" spans="1:4" x14ac:dyDescent="0.3">
      <c r="A4">
        <v>103</v>
      </c>
      <c r="B4" t="s">
        <v>10</v>
      </c>
      <c r="C4" t="s">
        <v>11</v>
      </c>
      <c r="D4" t="s">
        <v>12</v>
      </c>
    </row>
    <row r="5" spans="1:4" x14ac:dyDescent="0.3">
      <c r="A5">
        <v>104</v>
      </c>
      <c r="B5" t="s">
        <v>13</v>
      </c>
      <c r="C5" t="s">
        <v>14</v>
      </c>
      <c r="D5" t="s">
        <v>6</v>
      </c>
    </row>
    <row r="6" spans="1:4" x14ac:dyDescent="0.3">
      <c r="A6">
        <v>105</v>
      </c>
      <c r="B6" t="s">
        <v>15</v>
      </c>
      <c r="C6" t="s">
        <v>16</v>
      </c>
      <c r="D6" t="s">
        <v>17</v>
      </c>
    </row>
    <row r="7" spans="1:4" x14ac:dyDescent="0.3">
      <c r="A7">
        <v>106</v>
      </c>
      <c r="B7" t="s">
        <v>18</v>
      </c>
      <c r="C7" t="s">
        <v>16</v>
      </c>
      <c r="D7" t="s">
        <v>9</v>
      </c>
    </row>
    <row r="8" spans="1:4" x14ac:dyDescent="0.3">
      <c r="A8">
        <v>107</v>
      </c>
      <c r="B8" t="s">
        <v>19</v>
      </c>
      <c r="C8" t="s">
        <v>20</v>
      </c>
      <c r="D8" t="s">
        <v>12</v>
      </c>
    </row>
    <row r="9" spans="1:4" x14ac:dyDescent="0.3">
      <c r="A9">
        <v>108</v>
      </c>
      <c r="B9" t="s">
        <v>21</v>
      </c>
      <c r="C9" t="s">
        <v>22</v>
      </c>
      <c r="D9" t="s">
        <v>6</v>
      </c>
    </row>
    <row r="10" spans="1:4" x14ac:dyDescent="0.3">
      <c r="A10">
        <v>109</v>
      </c>
      <c r="B10" t="s">
        <v>23</v>
      </c>
      <c r="C10" t="s">
        <v>24</v>
      </c>
      <c r="D10" t="s">
        <v>25</v>
      </c>
    </row>
    <row r="11" spans="1:4" x14ac:dyDescent="0.3">
      <c r="A11">
        <v>110</v>
      </c>
      <c r="B11" t="s">
        <v>26</v>
      </c>
      <c r="C11" t="s">
        <v>27</v>
      </c>
      <c r="D11" t="s">
        <v>9</v>
      </c>
    </row>
    <row r="12" spans="1:4" x14ac:dyDescent="0.3">
      <c r="A12">
        <v>111</v>
      </c>
      <c r="B12" t="s">
        <v>28</v>
      </c>
      <c r="C12" t="s">
        <v>29</v>
      </c>
      <c r="D12" t="s">
        <v>6</v>
      </c>
    </row>
    <row r="13" spans="1:4" x14ac:dyDescent="0.3">
      <c r="A13">
        <v>112</v>
      </c>
      <c r="B13" t="s">
        <v>30</v>
      </c>
      <c r="C13" t="s">
        <v>31</v>
      </c>
      <c r="D13" t="s">
        <v>12</v>
      </c>
    </row>
    <row r="14" spans="1:4" x14ac:dyDescent="0.3">
      <c r="A14">
        <v>113</v>
      </c>
      <c r="B14" t="s">
        <v>32</v>
      </c>
      <c r="C14" t="s">
        <v>33</v>
      </c>
      <c r="D14" t="s">
        <v>34</v>
      </c>
    </row>
    <row r="15" spans="1:4" x14ac:dyDescent="0.3">
      <c r="A15">
        <v>114</v>
      </c>
      <c r="B15" t="s">
        <v>35</v>
      </c>
      <c r="C15" t="s">
        <v>36</v>
      </c>
      <c r="D15" t="s">
        <v>6</v>
      </c>
    </row>
    <row r="16" spans="1:4" x14ac:dyDescent="0.3">
      <c r="A16">
        <v>115</v>
      </c>
      <c r="B16" t="s">
        <v>37</v>
      </c>
      <c r="C16" t="s">
        <v>38</v>
      </c>
      <c r="D16" t="s">
        <v>9</v>
      </c>
    </row>
    <row r="17" spans="1:4" x14ac:dyDescent="0.3">
      <c r="A17">
        <v>116</v>
      </c>
      <c r="B17" t="s">
        <v>39</v>
      </c>
      <c r="C17" t="s">
        <v>20</v>
      </c>
      <c r="D17" t="s">
        <v>17</v>
      </c>
    </row>
    <row r="18" spans="1:4" x14ac:dyDescent="0.3">
      <c r="A18">
        <v>117</v>
      </c>
      <c r="B18" t="s">
        <v>40</v>
      </c>
      <c r="C18" t="s">
        <v>16</v>
      </c>
      <c r="D18" t="s">
        <v>12</v>
      </c>
    </row>
    <row r="19" spans="1:4" x14ac:dyDescent="0.3">
      <c r="A19">
        <v>118</v>
      </c>
      <c r="B19" t="s">
        <v>41</v>
      </c>
      <c r="C19" t="s">
        <v>42</v>
      </c>
      <c r="D19" t="s">
        <v>25</v>
      </c>
    </row>
    <row r="20" spans="1:4" x14ac:dyDescent="0.3">
      <c r="A20">
        <v>119</v>
      </c>
      <c r="B20" t="s">
        <v>43</v>
      </c>
      <c r="C20" t="s">
        <v>27</v>
      </c>
      <c r="D20" t="s">
        <v>9</v>
      </c>
    </row>
    <row r="21" spans="1:4" x14ac:dyDescent="0.3">
      <c r="A21">
        <v>120</v>
      </c>
      <c r="B21" t="s">
        <v>44</v>
      </c>
      <c r="C21" t="s">
        <v>45</v>
      </c>
      <c r="D21" t="s">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530BB-F570-4AB7-B677-83FB30F3276E}">
  <dimension ref="A1:F101"/>
  <sheetViews>
    <sheetView topLeftCell="A61" zoomScale="61" workbookViewId="0">
      <selection activeCell="J92" sqref="J92"/>
    </sheetView>
  </sheetViews>
  <sheetFormatPr defaultRowHeight="14.4" x14ac:dyDescent="0.3"/>
  <cols>
    <col min="1" max="1" width="14.44140625" bestFit="1" customWidth="1"/>
    <col min="2" max="2" width="17.77734375" bestFit="1" customWidth="1"/>
    <col min="3" max="3" width="33.21875" bestFit="1" customWidth="1"/>
    <col min="4" max="4" width="10.44140625" bestFit="1" customWidth="1"/>
    <col min="5" max="5" width="8" bestFit="1" customWidth="1"/>
    <col min="6" max="6" width="8.5546875" bestFit="1" customWidth="1"/>
  </cols>
  <sheetData>
    <row r="1" spans="1:6" x14ac:dyDescent="0.3">
      <c r="A1" t="s">
        <v>46</v>
      </c>
      <c r="B1" t="s">
        <v>47</v>
      </c>
      <c r="C1" t="s">
        <v>48</v>
      </c>
      <c r="D1" t="s">
        <v>3</v>
      </c>
      <c r="E1" t="s">
        <v>49</v>
      </c>
      <c r="F1" t="s">
        <v>0</v>
      </c>
    </row>
    <row r="2" spans="1:6" x14ac:dyDescent="0.3">
      <c r="A2">
        <v>1</v>
      </c>
      <c r="B2" t="s">
        <v>50</v>
      </c>
      <c r="C2" t="s">
        <v>51</v>
      </c>
      <c r="D2" t="s">
        <v>6</v>
      </c>
      <c r="E2">
        <v>8.4</v>
      </c>
      <c r="F2">
        <v>101</v>
      </c>
    </row>
    <row r="3" spans="1:6" x14ac:dyDescent="0.3">
      <c r="A3">
        <v>2</v>
      </c>
      <c r="B3" t="s">
        <v>52</v>
      </c>
      <c r="C3" t="s">
        <v>53</v>
      </c>
      <c r="D3" t="s">
        <v>6</v>
      </c>
      <c r="E3">
        <v>7.8</v>
      </c>
      <c r="F3">
        <v>103</v>
      </c>
    </row>
    <row r="4" spans="1:6" x14ac:dyDescent="0.3">
      <c r="A4">
        <v>3</v>
      </c>
      <c r="B4" t="s">
        <v>54</v>
      </c>
      <c r="C4" t="s">
        <v>55</v>
      </c>
      <c r="D4" t="s">
        <v>6</v>
      </c>
      <c r="E4">
        <v>8.9</v>
      </c>
      <c r="F4">
        <v>102</v>
      </c>
    </row>
    <row r="5" spans="1:6" x14ac:dyDescent="0.3">
      <c r="A5">
        <v>4</v>
      </c>
      <c r="B5" t="s">
        <v>56</v>
      </c>
      <c r="C5" t="s">
        <v>57</v>
      </c>
      <c r="D5" t="s">
        <v>6</v>
      </c>
      <c r="E5">
        <v>7.5</v>
      </c>
      <c r="F5">
        <v>104</v>
      </c>
    </row>
    <row r="6" spans="1:6" x14ac:dyDescent="0.3">
      <c r="A6">
        <v>5</v>
      </c>
      <c r="B6" t="s">
        <v>58</v>
      </c>
      <c r="C6" t="s">
        <v>59</v>
      </c>
      <c r="D6" t="s">
        <v>60</v>
      </c>
      <c r="E6">
        <v>9.1</v>
      </c>
      <c r="F6">
        <v>105</v>
      </c>
    </row>
    <row r="7" spans="1:6" x14ac:dyDescent="0.3">
      <c r="A7">
        <v>6</v>
      </c>
      <c r="B7" t="s">
        <v>61</v>
      </c>
      <c r="C7" t="s">
        <v>62</v>
      </c>
      <c r="D7" t="s">
        <v>6</v>
      </c>
      <c r="E7">
        <v>8.1999999999999993</v>
      </c>
      <c r="F7">
        <v>107</v>
      </c>
    </row>
    <row r="8" spans="1:6" x14ac:dyDescent="0.3">
      <c r="A8">
        <v>7</v>
      </c>
      <c r="B8" t="s">
        <v>63</v>
      </c>
      <c r="C8" t="s">
        <v>64</v>
      </c>
      <c r="D8" t="s">
        <v>60</v>
      </c>
      <c r="E8">
        <v>7.6</v>
      </c>
      <c r="F8">
        <v>106</v>
      </c>
    </row>
    <row r="9" spans="1:6" x14ac:dyDescent="0.3">
      <c r="A9">
        <v>8</v>
      </c>
      <c r="B9" t="s">
        <v>65</v>
      </c>
      <c r="C9" t="s">
        <v>66</v>
      </c>
      <c r="D9" t="s">
        <v>6</v>
      </c>
      <c r="E9">
        <v>8.6999999999999993</v>
      </c>
      <c r="F9">
        <v>108</v>
      </c>
    </row>
    <row r="10" spans="1:6" x14ac:dyDescent="0.3">
      <c r="A10">
        <v>9</v>
      </c>
      <c r="B10" t="s">
        <v>67</v>
      </c>
      <c r="C10" t="s">
        <v>68</v>
      </c>
      <c r="D10" t="s">
        <v>6</v>
      </c>
      <c r="E10">
        <v>7.9</v>
      </c>
      <c r="F10">
        <v>109</v>
      </c>
    </row>
    <row r="11" spans="1:6" x14ac:dyDescent="0.3">
      <c r="A11">
        <v>10</v>
      </c>
      <c r="B11" t="s">
        <v>69</v>
      </c>
      <c r="C11" t="s">
        <v>70</v>
      </c>
      <c r="D11" t="s">
        <v>60</v>
      </c>
      <c r="E11">
        <v>9.3000000000000007</v>
      </c>
      <c r="F11">
        <v>110</v>
      </c>
    </row>
    <row r="12" spans="1:6" x14ac:dyDescent="0.3">
      <c r="A12">
        <v>11</v>
      </c>
      <c r="B12" t="s">
        <v>71</v>
      </c>
      <c r="C12" t="s">
        <v>72</v>
      </c>
      <c r="D12" t="s">
        <v>6</v>
      </c>
      <c r="E12">
        <v>7.2</v>
      </c>
      <c r="F12">
        <v>111</v>
      </c>
    </row>
    <row r="13" spans="1:6" x14ac:dyDescent="0.3">
      <c r="A13">
        <v>12</v>
      </c>
      <c r="B13" t="s">
        <v>73</v>
      </c>
      <c r="C13" t="s">
        <v>74</v>
      </c>
      <c r="D13" t="s">
        <v>6</v>
      </c>
      <c r="E13">
        <v>8.5</v>
      </c>
      <c r="F13">
        <v>112</v>
      </c>
    </row>
    <row r="14" spans="1:6" x14ac:dyDescent="0.3">
      <c r="A14">
        <v>13</v>
      </c>
      <c r="B14" t="s">
        <v>75</v>
      </c>
      <c r="C14" t="s">
        <v>76</v>
      </c>
      <c r="D14" t="s">
        <v>77</v>
      </c>
      <c r="E14">
        <v>8</v>
      </c>
      <c r="F14">
        <v>113</v>
      </c>
    </row>
    <row r="15" spans="1:6" x14ac:dyDescent="0.3">
      <c r="A15">
        <v>14</v>
      </c>
      <c r="B15" t="s">
        <v>78</v>
      </c>
      <c r="C15" t="s">
        <v>79</v>
      </c>
      <c r="D15" t="s">
        <v>6</v>
      </c>
      <c r="E15">
        <v>7.7</v>
      </c>
      <c r="F15">
        <v>114</v>
      </c>
    </row>
    <row r="16" spans="1:6" x14ac:dyDescent="0.3">
      <c r="A16">
        <v>15</v>
      </c>
      <c r="B16" t="s">
        <v>80</v>
      </c>
      <c r="C16" t="s">
        <v>51</v>
      </c>
      <c r="D16" t="s">
        <v>6</v>
      </c>
      <c r="E16">
        <v>9</v>
      </c>
      <c r="F16">
        <v>115</v>
      </c>
    </row>
    <row r="17" spans="1:6" x14ac:dyDescent="0.3">
      <c r="A17">
        <v>16</v>
      </c>
      <c r="B17" t="s">
        <v>81</v>
      </c>
      <c r="C17" t="s">
        <v>53</v>
      </c>
      <c r="D17" t="s">
        <v>6</v>
      </c>
      <c r="E17">
        <v>8.3000000000000007</v>
      </c>
      <c r="F17">
        <v>116</v>
      </c>
    </row>
    <row r="18" spans="1:6" x14ac:dyDescent="0.3">
      <c r="A18">
        <v>17</v>
      </c>
      <c r="B18" t="s">
        <v>82</v>
      </c>
      <c r="C18" t="s">
        <v>55</v>
      </c>
      <c r="D18" t="s">
        <v>6</v>
      </c>
      <c r="E18">
        <v>7.4</v>
      </c>
      <c r="F18">
        <v>117</v>
      </c>
    </row>
    <row r="19" spans="1:6" x14ac:dyDescent="0.3">
      <c r="A19">
        <v>18</v>
      </c>
      <c r="B19" t="s">
        <v>83</v>
      </c>
      <c r="C19" t="s">
        <v>57</v>
      </c>
      <c r="D19" t="s">
        <v>6</v>
      </c>
      <c r="E19">
        <v>8.8000000000000007</v>
      </c>
      <c r="F19">
        <v>118</v>
      </c>
    </row>
    <row r="20" spans="1:6" x14ac:dyDescent="0.3">
      <c r="A20">
        <v>19</v>
      </c>
      <c r="B20" t="s">
        <v>84</v>
      </c>
      <c r="C20" t="s">
        <v>59</v>
      </c>
      <c r="D20" t="s">
        <v>60</v>
      </c>
      <c r="E20">
        <v>8.1</v>
      </c>
      <c r="F20">
        <v>119</v>
      </c>
    </row>
    <row r="21" spans="1:6" x14ac:dyDescent="0.3">
      <c r="A21">
        <v>20</v>
      </c>
      <c r="B21" t="s">
        <v>85</v>
      </c>
      <c r="C21" t="s">
        <v>62</v>
      </c>
      <c r="D21" t="s">
        <v>6</v>
      </c>
      <c r="E21">
        <v>9.1999999999999993</v>
      </c>
      <c r="F21">
        <v>120</v>
      </c>
    </row>
    <row r="22" spans="1:6" x14ac:dyDescent="0.3">
      <c r="A22">
        <v>21</v>
      </c>
      <c r="B22" t="s">
        <v>86</v>
      </c>
      <c r="C22" t="s">
        <v>64</v>
      </c>
      <c r="D22" t="s">
        <v>60</v>
      </c>
      <c r="E22">
        <v>7.3</v>
      </c>
      <c r="F22">
        <v>101</v>
      </c>
    </row>
    <row r="23" spans="1:6" x14ac:dyDescent="0.3">
      <c r="A23">
        <v>22</v>
      </c>
      <c r="B23" t="s">
        <v>87</v>
      </c>
      <c r="C23" t="s">
        <v>66</v>
      </c>
      <c r="D23" t="s">
        <v>6</v>
      </c>
      <c r="E23">
        <v>8.6</v>
      </c>
      <c r="F23">
        <v>102</v>
      </c>
    </row>
    <row r="24" spans="1:6" x14ac:dyDescent="0.3">
      <c r="A24">
        <v>23</v>
      </c>
      <c r="B24" t="s">
        <v>88</v>
      </c>
      <c r="C24" t="s">
        <v>68</v>
      </c>
      <c r="D24" t="s">
        <v>6</v>
      </c>
      <c r="E24">
        <v>8.9</v>
      </c>
      <c r="F24">
        <v>103</v>
      </c>
    </row>
    <row r="25" spans="1:6" x14ac:dyDescent="0.3">
      <c r="A25">
        <v>24</v>
      </c>
      <c r="B25" t="s">
        <v>89</v>
      </c>
      <c r="C25" t="s">
        <v>70</v>
      </c>
      <c r="D25" t="s">
        <v>60</v>
      </c>
      <c r="E25">
        <v>7.8</v>
      </c>
      <c r="F25">
        <v>104</v>
      </c>
    </row>
    <row r="26" spans="1:6" x14ac:dyDescent="0.3">
      <c r="A26">
        <v>25</v>
      </c>
      <c r="B26" t="s">
        <v>90</v>
      </c>
      <c r="C26" t="s">
        <v>72</v>
      </c>
      <c r="D26" t="s">
        <v>6</v>
      </c>
      <c r="E26">
        <v>8.4</v>
      </c>
      <c r="F26">
        <v>105</v>
      </c>
    </row>
    <row r="27" spans="1:6" x14ac:dyDescent="0.3">
      <c r="A27">
        <v>26</v>
      </c>
      <c r="B27" t="s">
        <v>91</v>
      </c>
      <c r="C27" t="s">
        <v>74</v>
      </c>
      <c r="D27" t="s">
        <v>6</v>
      </c>
      <c r="E27">
        <v>8.6999999999999993</v>
      </c>
      <c r="F27">
        <v>106</v>
      </c>
    </row>
    <row r="28" spans="1:6" x14ac:dyDescent="0.3">
      <c r="A28">
        <v>27</v>
      </c>
      <c r="B28" t="s">
        <v>92</v>
      </c>
      <c r="C28" t="s">
        <v>76</v>
      </c>
      <c r="D28" t="s">
        <v>77</v>
      </c>
      <c r="E28">
        <v>7.9</v>
      </c>
      <c r="F28">
        <v>107</v>
      </c>
    </row>
    <row r="29" spans="1:6" x14ac:dyDescent="0.3">
      <c r="A29">
        <v>28</v>
      </c>
      <c r="B29" t="s">
        <v>93</v>
      </c>
      <c r="C29" t="s">
        <v>79</v>
      </c>
      <c r="D29" t="s">
        <v>6</v>
      </c>
      <c r="E29">
        <v>8.5</v>
      </c>
      <c r="F29">
        <v>108</v>
      </c>
    </row>
    <row r="30" spans="1:6" x14ac:dyDescent="0.3">
      <c r="A30">
        <v>29</v>
      </c>
      <c r="B30" t="s">
        <v>94</v>
      </c>
      <c r="C30" t="s">
        <v>51</v>
      </c>
      <c r="D30" t="s">
        <v>6</v>
      </c>
      <c r="E30">
        <v>7.6</v>
      </c>
      <c r="F30">
        <v>109</v>
      </c>
    </row>
    <row r="31" spans="1:6" x14ac:dyDescent="0.3">
      <c r="A31">
        <v>30</v>
      </c>
      <c r="B31" t="s">
        <v>95</v>
      </c>
      <c r="C31" t="s">
        <v>53</v>
      </c>
      <c r="D31" t="s">
        <v>6</v>
      </c>
      <c r="E31">
        <v>9.1</v>
      </c>
      <c r="F31">
        <v>110</v>
      </c>
    </row>
    <row r="32" spans="1:6" x14ac:dyDescent="0.3">
      <c r="A32">
        <v>31</v>
      </c>
      <c r="B32" t="s">
        <v>96</v>
      </c>
      <c r="C32" t="s">
        <v>55</v>
      </c>
      <c r="D32" t="s">
        <v>6</v>
      </c>
      <c r="E32">
        <v>8.1999999999999993</v>
      </c>
      <c r="F32">
        <v>111</v>
      </c>
    </row>
    <row r="33" spans="1:6" x14ac:dyDescent="0.3">
      <c r="A33">
        <v>32</v>
      </c>
      <c r="B33" t="s">
        <v>97</v>
      </c>
      <c r="C33" t="s">
        <v>57</v>
      </c>
      <c r="D33" t="s">
        <v>6</v>
      </c>
      <c r="E33">
        <v>7.8</v>
      </c>
      <c r="F33">
        <v>112</v>
      </c>
    </row>
    <row r="34" spans="1:6" x14ac:dyDescent="0.3">
      <c r="A34">
        <v>33</v>
      </c>
      <c r="B34" t="s">
        <v>98</v>
      </c>
      <c r="C34" t="s">
        <v>59</v>
      </c>
      <c r="D34" t="s">
        <v>60</v>
      </c>
      <c r="E34">
        <v>8.9</v>
      </c>
      <c r="F34">
        <v>113</v>
      </c>
    </row>
    <row r="35" spans="1:6" x14ac:dyDescent="0.3">
      <c r="A35">
        <v>34</v>
      </c>
      <c r="B35" t="s">
        <v>99</v>
      </c>
      <c r="C35" t="s">
        <v>70</v>
      </c>
      <c r="D35" t="s">
        <v>60</v>
      </c>
      <c r="E35">
        <v>8.3000000000000007</v>
      </c>
      <c r="F35">
        <v>114</v>
      </c>
    </row>
    <row r="36" spans="1:6" x14ac:dyDescent="0.3">
      <c r="A36">
        <v>35</v>
      </c>
      <c r="B36" t="s">
        <v>100</v>
      </c>
      <c r="C36" t="s">
        <v>72</v>
      </c>
      <c r="D36" t="s">
        <v>6</v>
      </c>
      <c r="E36">
        <v>7.5</v>
      </c>
      <c r="F36">
        <v>115</v>
      </c>
    </row>
    <row r="37" spans="1:6" x14ac:dyDescent="0.3">
      <c r="A37">
        <v>36</v>
      </c>
      <c r="B37" t="s">
        <v>101</v>
      </c>
      <c r="C37" t="s">
        <v>64</v>
      </c>
      <c r="D37" t="s">
        <v>60</v>
      </c>
      <c r="E37">
        <v>9</v>
      </c>
      <c r="F37">
        <v>116</v>
      </c>
    </row>
    <row r="38" spans="1:6" x14ac:dyDescent="0.3">
      <c r="A38">
        <v>37</v>
      </c>
      <c r="B38" t="s">
        <v>102</v>
      </c>
      <c r="C38" t="s">
        <v>66</v>
      </c>
      <c r="D38" t="s">
        <v>6</v>
      </c>
      <c r="E38">
        <v>8.1</v>
      </c>
      <c r="F38">
        <v>117</v>
      </c>
    </row>
    <row r="39" spans="1:6" x14ac:dyDescent="0.3">
      <c r="A39">
        <v>38</v>
      </c>
      <c r="B39" t="s">
        <v>103</v>
      </c>
      <c r="C39" t="s">
        <v>68</v>
      </c>
      <c r="D39" t="s">
        <v>6</v>
      </c>
      <c r="E39">
        <v>7.7</v>
      </c>
      <c r="F39">
        <v>118</v>
      </c>
    </row>
    <row r="40" spans="1:6" x14ac:dyDescent="0.3">
      <c r="A40">
        <v>39</v>
      </c>
      <c r="B40" t="s">
        <v>104</v>
      </c>
      <c r="C40" t="s">
        <v>62</v>
      </c>
      <c r="D40" t="s">
        <v>6</v>
      </c>
      <c r="E40">
        <v>8.8000000000000007</v>
      </c>
      <c r="F40">
        <v>119</v>
      </c>
    </row>
    <row r="41" spans="1:6" x14ac:dyDescent="0.3">
      <c r="A41">
        <v>40</v>
      </c>
      <c r="B41" t="s">
        <v>105</v>
      </c>
      <c r="C41" t="s">
        <v>79</v>
      </c>
      <c r="D41" t="s">
        <v>6</v>
      </c>
      <c r="E41">
        <v>9.4</v>
      </c>
      <c r="F41">
        <v>120</v>
      </c>
    </row>
    <row r="42" spans="1:6" x14ac:dyDescent="0.3">
      <c r="A42">
        <v>41</v>
      </c>
      <c r="B42" t="s">
        <v>106</v>
      </c>
      <c r="C42" t="s">
        <v>51</v>
      </c>
      <c r="D42" t="s">
        <v>6</v>
      </c>
      <c r="E42">
        <v>8</v>
      </c>
      <c r="F42">
        <v>101</v>
      </c>
    </row>
    <row r="43" spans="1:6" x14ac:dyDescent="0.3">
      <c r="A43">
        <v>42</v>
      </c>
      <c r="B43" t="s">
        <v>107</v>
      </c>
      <c r="C43" t="s">
        <v>53</v>
      </c>
      <c r="D43" t="s">
        <v>6</v>
      </c>
      <c r="E43">
        <v>8.6</v>
      </c>
      <c r="F43">
        <v>102</v>
      </c>
    </row>
    <row r="44" spans="1:6" x14ac:dyDescent="0.3">
      <c r="A44">
        <v>43</v>
      </c>
      <c r="B44" t="s">
        <v>108</v>
      </c>
      <c r="C44" t="s">
        <v>55</v>
      </c>
      <c r="D44" t="s">
        <v>6</v>
      </c>
      <c r="E44">
        <v>7.4</v>
      </c>
      <c r="F44">
        <v>103</v>
      </c>
    </row>
    <row r="45" spans="1:6" x14ac:dyDescent="0.3">
      <c r="A45">
        <v>44</v>
      </c>
      <c r="B45" t="s">
        <v>109</v>
      </c>
      <c r="C45" t="s">
        <v>57</v>
      </c>
      <c r="D45" t="s">
        <v>6</v>
      </c>
      <c r="E45">
        <v>8.9</v>
      </c>
      <c r="F45">
        <v>104</v>
      </c>
    </row>
    <row r="46" spans="1:6" x14ac:dyDescent="0.3">
      <c r="A46">
        <v>45</v>
      </c>
      <c r="B46" t="s">
        <v>110</v>
      </c>
      <c r="C46" t="s">
        <v>59</v>
      </c>
      <c r="D46" t="s">
        <v>60</v>
      </c>
      <c r="E46">
        <v>8.1999999999999993</v>
      </c>
      <c r="F46">
        <v>105</v>
      </c>
    </row>
    <row r="47" spans="1:6" x14ac:dyDescent="0.3">
      <c r="A47">
        <v>46</v>
      </c>
      <c r="B47" t="s">
        <v>111</v>
      </c>
      <c r="C47" t="s">
        <v>70</v>
      </c>
      <c r="D47" t="s">
        <v>60</v>
      </c>
      <c r="E47">
        <v>7.6</v>
      </c>
      <c r="F47">
        <v>106</v>
      </c>
    </row>
    <row r="48" spans="1:6" x14ac:dyDescent="0.3">
      <c r="A48">
        <v>47</v>
      </c>
      <c r="B48" t="s">
        <v>112</v>
      </c>
      <c r="C48" t="s">
        <v>76</v>
      </c>
      <c r="D48" t="s">
        <v>77</v>
      </c>
      <c r="E48">
        <v>8.6999999999999993</v>
      </c>
      <c r="F48">
        <v>107</v>
      </c>
    </row>
    <row r="49" spans="1:6" x14ac:dyDescent="0.3">
      <c r="A49">
        <v>48</v>
      </c>
      <c r="B49" t="s">
        <v>113</v>
      </c>
      <c r="C49" t="s">
        <v>66</v>
      </c>
      <c r="D49" t="s">
        <v>6</v>
      </c>
      <c r="E49">
        <v>9</v>
      </c>
      <c r="F49">
        <v>108</v>
      </c>
    </row>
    <row r="50" spans="1:6" x14ac:dyDescent="0.3">
      <c r="A50">
        <v>49</v>
      </c>
      <c r="B50" t="s">
        <v>114</v>
      </c>
      <c r="C50" t="s">
        <v>68</v>
      </c>
      <c r="D50" t="s">
        <v>6</v>
      </c>
      <c r="E50">
        <v>7.3</v>
      </c>
      <c r="F50">
        <v>109</v>
      </c>
    </row>
    <row r="51" spans="1:6" x14ac:dyDescent="0.3">
      <c r="A51">
        <v>50</v>
      </c>
      <c r="B51" t="s">
        <v>115</v>
      </c>
      <c r="C51" t="s">
        <v>72</v>
      </c>
      <c r="D51" t="s">
        <v>6</v>
      </c>
      <c r="E51">
        <v>8.5</v>
      </c>
      <c r="F51">
        <v>110</v>
      </c>
    </row>
    <row r="52" spans="1:6" x14ac:dyDescent="0.3">
      <c r="A52">
        <v>51</v>
      </c>
      <c r="B52" t="s">
        <v>116</v>
      </c>
      <c r="C52" t="s">
        <v>74</v>
      </c>
      <c r="D52" t="s">
        <v>6</v>
      </c>
      <c r="E52">
        <v>8.3000000000000007</v>
      </c>
      <c r="F52">
        <v>111</v>
      </c>
    </row>
    <row r="53" spans="1:6" x14ac:dyDescent="0.3">
      <c r="A53">
        <v>52</v>
      </c>
      <c r="B53" t="s">
        <v>117</v>
      </c>
      <c r="C53" t="s">
        <v>79</v>
      </c>
      <c r="D53" t="s">
        <v>6</v>
      </c>
      <c r="E53">
        <v>7.8</v>
      </c>
      <c r="F53">
        <v>112</v>
      </c>
    </row>
    <row r="54" spans="1:6" x14ac:dyDescent="0.3">
      <c r="A54">
        <v>53</v>
      </c>
      <c r="B54" t="s">
        <v>118</v>
      </c>
      <c r="C54" t="s">
        <v>76</v>
      </c>
      <c r="D54" t="s">
        <v>77</v>
      </c>
      <c r="E54">
        <v>8.6</v>
      </c>
      <c r="F54">
        <v>113</v>
      </c>
    </row>
    <row r="55" spans="1:6" x14ac:dyDescent="0.3">
      <c r="A55">
        <v>54</v>
      </c>
      <c r="B55" t="s">
        <v>119</v>
      </c>
      <c r="C55" t="s">
        <v>59</v>
      </c>
      <c r="D55" t="s">
        <v>60</v>
      </c>
      <c r="E55">
        <v>9.1</v>
      </c>
      <c r="F55">
        <v>114</v>
      </c>
    </row>
    <row r="56" spans="1:6" x14ac:dyDescent="0.3">
      <c r="A56">
        <v>55</v>
      </c>
      <c r="B56" t="s">
        <v>120</v>
      </c>
      <c r="C56" t="s">
        <v>51</v>
      </c>
      <c r="D56" t="s">
        <v>6</v>
      </c>
      <c r="E56">
        <v>7.5</v>
      </c>
      <c r="F56">
        <v>115</v>
      </c>
    </row>
    <row r="57" spans="1:6" x14ac:dyDescent="0.3">
      <c r="A57">
        <v>56</v>
      </c>
      <c r="B57" t="s">
        <v>121</v>
      </c>
      <c r="C57" t="s">
        <v>53</v>
      </c>
      <c r="D57" t="s">
        <v>6</v>
      </c>
      <c r="E57">
        <v>8.8000000000000007</v>
      </c>
      <c r="F57">
        <v>116</v>
      </c>
    </row>
    <row r="58" spans="1:6" x14ac:dyDescent="0.3">
      <c r="A58">
        <v>57</v>
      </c>
      <c r="B58" t="s">
        <v>82</v>
      </c>
      <c r="C58" t="s">
        <v>55</v>
      </c>
      <c r="D58" t="s">
        <v>6</v>
      </c>
      <c r="E58">
        <v>8</v>
      </c>
      <c r="F58">
        <v>117</v>
      </c>
    </row>
    <row r="59" spans="1:6" x14ac:dyDescent="0.3">
      <c r="A59">
        <v>58</v>
      </c>
      <c r="B59" t="s">
        <v>122</v>
      </c>
      <c r="C59" t="s">
        <v>57</v>
      </c>
      <c r="D59" t="s">
        <v>6</v>
      </c>
      <c r="E59">
        <v>7.7</v>
      </c>
      <c r="F59">
        <v>118</v>
      </c>
    </row>
    <row r="60" spans="1:6" x14ac:dyDescent="0.3">
      <c r="A60">
        <v>59</v>
      </c>
      <c r="B60" t="s">
        <v>123</v>
      </c>
      <c r="C60" t="s">
        <v>70</v>
      </c>
      <c r="D60" t="s">
        <v>60</v>
      </c>
      <c r="E60">
        <v>9.1999999999999993</v>
      </c>
      <c r="F60">
        <v>119</v>
      </c>
    </row>
    <row r="61" spans="1:6" x14ac:dyDescent="0.3">
      <c r="A61">
        <v>60</v>
      </c>
      <c r="B61" t="s">
        <v>124</v>
      </c>
      <c r="C61" t="s">
        <v>62</v>
      </c>
      <c r="D61" t="s">
        <v>6</v>
      </c>
      <c r="E61">
        <v>8.4</v>
      </c>
      <c r="F61">
        <v>120</v>
      </c>
    </row>
    <row r="62" spans="1:6" x14ac:dyDescent="0.3">
      <c r="A62">
        <v>61</v>
      </c>
      <c r="B62" t="s">
        <v>125</v>
      </c>
      <c r="C62" t="s">
        <v>72</v>
      </c>
      <c r="D62" t="s">
        <v>6</v>
      </c>
      <c r="E62">
        <v>7.9</v>
      </c>
      <c r="F62">
        <v>101</v>
      </c>
    </row>
    <row r="63" spans="1:6" x14ac:dyDescent="0.3">
      <c r="A63">
        <v>62</v>
      </c>
      <c r="B63" t="s">
        <v>126</v>
      </c>
      <c r="C63" t="s">
        <v>68</v>
      </c>
      <c r="D63" t="s">
        <v>6</v>
      </c>
      <c r="E63">
        <v>8.6999999999999993</v>
      </c>
      <c r="F63">
        <v>102</v>
      </c>
    </row>
    <row r="64" spans="1:6" x14ac:dyDescent="0.3">
      <c r="A64">
        <v>63</v>
      </c>
      <c r="B64" t="s">
        <v>127</v>
      </c>
      <c r="C64" t="s">
        <v>66</v>
      </c>
      <c r="D64" t="s">
        <v>6</v>
      </c>
      <c r="E64">
        <v>8.1</v>
      </c>
      <c r="F64">
        <v>103</v>
      </c>
    </row>
    <row r="65" spans="1:6" x14ac:dyDescent="0.3">
      <c r="A65">
        <v>64</v>
      </c>
      <c r="B65" t="s">
        <v>128</v>
      </c>
      <c r="C65" t="s">
        <v>64</v>
      </c>
      <c r="D65" t="s">
        <v>60</v>
      </c>
      <c r="E65">
        <v>9</v>
      </c>
      <c r="F65">
        <v>104</v>
      </c>
    </row>
    <row r="66" spans="1:6" x14ac:dyDescent="0.3">
      <c r="A66">
        <v>65</v>
      </c>
      <c r="B66" t="s">
        <v>129</v>
      </c>
      <c r="C66" t="s">
        <v>76</v>
      </c>
      <c r="D66" t="s">
        <v>77</v>
      </c>
      <c r="E66">
        <v>7.6</v>
      </c>
      <c r="F66">
        <v>105</v>
      </c>
    </row>
    <row r="67" spans="1:6" x14ac:dyDescent="0.3">
      <c r="A67">
        <v>66</v>
      </c>
      <c r="B67" t="s">
        <v>130</v>
      </c>
      <c r="C67" t="s">
        <v>79</v>
      </c>
      <c r="D67" t="s">
        <v>6</v>
      </c>
      <c r="E67">
        <v>8.5</v>
      </c>
      <c r="F67">
        <v>106</v>
      </c>
    </row>
    <row r="68" spans="1:6" x14ac:dyDescent="0.3">
      <c r="A68">
        <v>67</v>
      </c>
      <c r="B68" t="s">
        <v>131</v>
      </c>
      <c r="C68" t="s">
        <v>51</v>
      </c>
      <c r="D68" t="s">
        <v>6</v>
      </c>
      <c r="E68">
        <v>8.9</v>
      </c>
      <c r="F68">
        <v>107</v>
      </c>
    </row>
    <row r="69" spans="1:6" x14ac:dyDescent="0.3">
      <c r="A69">
        <v>68</v>
      </c>
      <c r="B69" t="s">
        <v>132</v>
      </c>
      <c r="C69" t="s">
        <v>53</v>
      </c>
      <c r="D69" t="s">
        <v>6</v>
      </c>
      <c r="E69">
        <v>7.4</v>
      </c>
      <c r="F69">
        <v>108</v>
      </c>
    </row>
    <row r="70" spans="1:6" x14ac:dyDescent="0.3">
      <c r="A70">
        <v>69</v>
      </c>
      <c r="B70" t="s">
        <v>133</v>
      </c>
      <c r="C70" t="s">
        <v>55</v>
      </c>
      <c r="D70" t="s">
        <v>6</v>
      </c>
      <c r="E70">
        <v>8.8000000000000007</v>
      </c>
      <c r="F70">
        <v>109</v>
      </c>
    </row>
    <row r="71" spans="1:6" x14ac:dyDescent="0.3">
      <c r="A71">
        <v>70</v>
      </c>
      <c r="B71" t="s">
        <v>134</v>
      </c>
      <c r="C71" t="s">
        <v>57</v>
      </c>
      <c r="D71" t="s">
        <v>6</v>
      </c>
      <c r="E71">
        <v>9.3000000000000007</v>
      </c>
      <c r="F71">
        <v>110</v>
      </c>
    </row>
    <row r="72" spans="1:6" x14ac:dyDescent="0.3">
      <c r="A72">
        <v>71</v>
      </c>
      <c r="B72" t="s">
        <v>135</v>
      </c>
      <c r="C72" t="s">
        <v>59</v>
      </c>
      <c r="D72" t="s">
        <v>60</v>
      </c>
      <c r="E72">
        <v>8.1999999999999993</v>
      </c>
      <c r="F72">
        <v>111</v>
      </c>
    </row>
    <row r="73" spans="1:6" x14ac:dyDescent="0.3">
      <c r="A73">
        <v>72</v>
      </c>
      <c r="B73" t="s">
        <v>136</v>
      </c>
      <c r="C73" t="s">
        <v>70</v>
      </c>
      <c r="D73" t="s">
        <v>60</v>
      </c>
      <c r="E73">
        <v>7.9</v>
      </c>
      <c r="F73">
        <v>112</v>
      </c>
    </row>
    <row r="74" spans="1:6" x14ac:dyDescent="0.3">
      <c r="A74">
        <v>73</v>
      </c>
      <c r="B74" t="s">
        <v>137</v>
      </c>
      <c r="C74" t="s">
        <v>72</v>
      </c>
      <c r="D74" t="s">
        <v>6</v>
      </c>
      <c r="E74">
        <v>8.6</v>
      </c>
      <c r="F74">
        <v>113</v>
      </c>
    </row>
    <row r="75" spans="1:6" x14ac:dyDescent="0.3">
      <c r="A75">
        <v>74</v>
      </c>
      <c r="B75" t="s">
        <v>138</v>
      </c>
      <c r="C75" t="s">
        <v>68</v>
      </c>
      <c r="D75" t="s">
        <v>6</v>
      </c>
      <c r="E75">
        <v>9.1</v>
      </c>
      <c r="F75">
        <v>114</v>
      </c>
    </row>
    <row r="76" spans="1:6" x14ac:dyDescent="0.3">
      <c r="A76">
        <v>75</v>
      </c>
      <c r="B76" t="s">
        <v>139</v>
      </c>
      <c r="C76" t="s">
        <v>62</v>
      </c>
      <c r="D76" t="s">
        <v>6</v>
      </c>
      <c r="E76">
        <v>7.8</v>
      </c>
      <c r="F76">
        <v>115</v>
      </c>
    </row>
    <row r="77" spans="1:6" x14ac:dyDescent="0.3">
      <c r="A77">
        <v>76</v>
      </c>
      <c r="B77" t="s">
        <v>140</v>
      </c>
      <c r="C77" t="s">
        <v>66</v>
      </c>
      <c r="D77" t="s">
        <v>6</v>
      </c>
      <c r="E77">
        <v>8.4</v>
      </c>
      <c r="F77">
        <v>116</v>
      </c>
    </row>
    <row r="78" spans="1:6" x14ac:dyDescent="0.3">
      <c r="A78">
        <v>77</v>
      </c>
      <c r="B78" t="s">
        <v>141</v>
      </c>
      <c r="C78" t="s">
        <v>64</v>
      </c>
      <c r="D78" t="s">
        <v>60</v>
      </c>
      <c r="E78">
        <v>7.7</v>
      </c>
      <c r="F78">
        <v>117</v>
      </c>
    </row>
    <row r="79" spans="1:6" x14ac:dyDescent="0.3">
      <c r="A79">
        <v>78</v>
      </c>
      <c r="B79" t="s">
        <v>142</v>
      </c>
      <c r="C79" t="s">
        <v>76</v>
      </c>
      <c r="D79" t="s">
        <v>77</v>
      </c>
      <c r="E79">
        <v>8.9</v>
      </c>
      <c r="F79">
        <v>118</v>
      </c>
    </row>
    <row r="80" spans="1:6" x14ac:dyDescent="0.3">
      <c r="A80">
        <v>79</v>
      </c>
      <c r="B80" t="s">
        <v>143</v>
      </c>
      <c r="C80" t="s">
        <v>79</v>
      </c>
      <c r="D80" t="s">
        <v>6</v>
      </c>
      <c r="E80">
        <v>8.1</v>
      </c>
      <c r="F80">
        <v>119</v>
      </c>
    </row>
    <row r="81" spans="1:6" x14ac:dyDescent="0.3">
      <c r="A81">
        <v>80</v>
      </c>
      <c r="B81" t="s">
        <v>144</v>
      </c>
      <c r="C81" t="s">
        <v>51</v>
      </c>
      <c r="D81" t="s">
        <v>6</v>
      </c>
      <c r="E81">
        <v>9.1999999999999993</v>
      </c>
      <c r="F81">
        <v>120</v>
      </c>
    </row>
    <row r="82" spans="1:6" x14ac:dyDescent="0.3">
      <c r="A82">
        <v>81</v>
      </c>
      <c r="B82" t="s">
        <v>145</v>
      </c>
      <c r="C82" t="s">
        <v>53</v>
      </c>
      <c r="D82" t="s">
        <v>6</v>
      </c>
      <c r="E82">
        <v>7.6</v>
      </c>
      <c r="F82">
        <v>101</v>
      </c>
    </row>
    <row r="83" spans="1:6" x14ac:dyDescent="0.3">
      <c r="A83">
        <v>82</v>
      </c>
      <c r="B83" t="s">
        <v>146</v>
      </c>
      <c r="C83" t="s">
        <v>55</v>
      </c>
      <c r="D83" t="s">
        <v>6</v>
      </c>
      <c r="E83">
        <v>8.8000000000000007</v>
      </c>
      <c r="F83">
        <v>102</v>
      </c>
    </row>
    <row r="84" spans="1:6" x14ac:dyDescent="0.3">
      <c r="A84">
        <v>83</v>
      </c>
      <c r="B84" t="s">
        <v>147</v>
      </c>
      <c r="C84" t="s">
        <v>57</v>
      </c>
      <c r="D84" t="s">
        <v>6</v>
      </c>
      <c r="E84">
        <v>8.3000000000000007</v>
      </c>
      <c r="F84">
        <v>103</v>
      </c>
    </row>
    <row r="85" spans="1:6" x14ac:dyDescent="0.3">
      <c r="A85">
        <v>84</v>
      </c>
      <c r="B85" t="s">
        <v>148</v>
      </c>
      <c r="C85" t="s">
        <v>59</v>
      </c>
      <c r="D85" t="s">
        <v>60</v>
      </c>
      <c r="E85">
        <v>7.9</v>
      </c>
      <c r="F85">
        <v>104</v>
      </c>
    </row>
    <row r="86" spans="1:6" x14ac:dyDescent="0.3">
      <c r="A86">
        <v>85</v>
      </c>
      <c r="B86" t="s">
        <v>149</v>
      </c>
      <c r="C86" t="s">
        <v>70</v>
      </c>
      <c r="D86" t="s">
        <v>60</v>
      </c>
      <c r="E86">
        <v>9</v>
      </c>
      <c r="F86">
        <v>105</v>
      </c>
    </row>
    <row r="87" spans="1:6" x14ac:dyDescent="0.3">
      <c r="A87">
        <v>86</v>
      </c>
      <c r="B87" t="s">
        <v>150</v>
      </c>
      <c r="C87" t="s">
        <v>72</v>
      </c>
      <c r="D87" t="s">
        <v>6</v>
      </c>
      <c r="E87">
        <v>8.5</v>
      </c>
      <c r="F87">
        <v>106</v>
      </c>
    </row>
    <row r="88" spans="1:6" x14ac:dyDescent="0.3">
      <c r="A88">
        <v>87</v>
      </c>
      <c r="B88" t="s">
        <v>151</v>
      </c>
      <c r="C88" t="s">
        <v>74</v>
      </c>
      <c r="D88" t="s">
        <v>6</v>
      </c>
      <c r="E88">
        <v>7.4</v>
      </c>
      <c r="F88">
        <v>107</v>
      </c>
    </row>
    <row r="89" spans="1:6" x14ac:dyDescent="0.3">
      <c r="A89">
        <v>88</v>
      </c>
      <c r="B89" t="s">
        <v>152</v>
      </c>
      <c r="C89" t="s">
        <v>68</v>
      </c>
      <c r="D89" t="s">
        <v>6</v>
      </c>
      <c r="E89">
        <v>8.6999999999999993</v>
      </c>
      <c r="F89">
        <v>108</v>
      </c>
    </row>
    <row r="90" spans="1:6" x14ac:dyDescent="0.3">
      <c r="A90">
        <v>89</v>
      </c>
      <c r="B90" t="s">
        <v>153</v>
      </c>
      <c r="C90" t="s">
        <v>62</v>
      </c>
      <c r="D90" t="s">
        <v>6</v>
      </c>
      <c r="E90">
        <v>8.1999999999999993</v>
      </c>
      <c r="F90">
        <v>109</v>
      </c>
    </row>
    <row r="91" spans="1:6" x14ac:dyDescent="0.3">
      <c r="A91">
        <v>90</v>
      </c>
      <c r="B91" t="s">
        <v>154</v>
      </c>
      <c r="C91" t="s">
        <v>66</v>
      </c>
      <c r="D91" t="s">
        <v>6</v>
      </c>
      <c r="E91">
        <v>9.1</v>
      </c>
      <c r="F91">
        <v>110</v>
      </c>
    </row>
    <row r="92" spans="1:6" x14ac:dyDescent="0.3">
      <c r="A92">
        <v>91</v>
      </c>
      <c r="B92" t="s">
        <v>155</v>
      </c>
      <c r="C92" t="s">
        <v>64</v>
      </c>
      <c r="D92" t="s">
        <v>60</v>
      </c>
      <c r="E92">
        <v>7.8</v>
      </c>
      <c r="F92">
        <v>111</v>
      </c>
    </row>
    <row r="93" spans="1:6" x14ac:dyDescent="0.3">
      <c r="A93">
        <v>92</v>
      </c>
      <c r="B93" t="s">
        <v>156</v>
      </c>
      <c r="C93" t="s">
        <v>76</v>
      </c>
      <c r="D93" t="s">
        <v>77</v>
      </c>
      <c r="E93">
        <v>8.6</v>
      </c>
      <c r="F93">
        <v>112</v>
      </c>
    </row>
    <row r="94" spans="1:6" x14ac:dyDescent="0.3">
      <c r="A94">
        <v>93</v>
      </c>
      <c r="B94" t="s">
        <v>157</v>
      </c>
      <c r="C94" t="s">
        <v>79</v>
      </c>
      <c r="D94" t="s">
        <v>6</v>
      </c>
      <c r="E94">
        <v>8</v>
      </c>
      <c r="F94">
        <v>113</v>
      </c>
    </row>
    <row r="95" spans="1:6" x14ac:dyDescent="0.3">
      <c r="A95">
        <v>94</v>
      </c>
      <c r="B95" t="s">
        <v>158</v>
      </c>
      <c r="C95" t="s">
        <v>51</v>
      </c>
      <c r="D95" t="s">
        <v>6</v>
      </c>
      <c r="E95">
        <v>9.3000000000000007</v>
      </c>
      <c r="F95">
        <v>114</v>
      </c>
    </row>
    <row r="96" spans="1:6" x14ac:dyDescent="0.3">
      <c r="A96">
        <v>95</v>
      </c>
      <c r="B96" t="s">
        <v>159</v>
      </c>
      <c r="C96" t="s">
        <v>53</v>
      </c>
      <c r="D96" t="s">
        <v>6</v>
      </c>
      <c r="E96">
        <v>7.5</v>
      </c>
      <c r="F96">
        <v>115</v>
      </c>
    </row>
    <row r="97" spans="1:6" x14ac:dyDescent="0.3">
      <c r="A97">
        <v>96</v>
      </c>
      <c r="B97" t="s">
        <v>160</v>
      </c>
      <c r="C97" t="s">
        <v>55</v>
      </c>
      <c r="D97" t="s">
        <v>6</v>
      </c>
      <c r="E97">
        <v>8.9</v>
      </c>
      <c r="F97">
        <v>116</v>
      </c>
    </row>
    <row r="98" spans="1:6" x14ac:dyDescent="0.3">
      <c r="A98">
        <v>97</v>
      </c>
      <c r="B98" t="s">
        <v>161</v>
      </c>
      <c r="C98" t="s">
        <v>57</v>
      </c>
      <c r="D98" t="s">
        <v>6</v>
      </c>
      <c r="E98">
        <v>8.4</v>
      </c>
      <c r="F98">
        <v>117</v>
      </c>
    </row>
    <row r="99" spans="1:6" x14ac:dyDescent="0.3">
      <c r="A99">
        <v>98</v>
      </c>
      <c r="B99" t="s">
        <v>162</v>
      </c>
      <c r="C99" t="s">
        <v>59</v>
      </c>
      <c r="D99" t="s">
        <v>60</v>
      </c>
      <c r="E99">
        <v>7.7</v>
      </c>
      <c r="F99">
        <v>118</v>
      </c>
    </row>
    <row r="100" spans="1:6" x14ac:dyDescent="0.3">
      <c r="A100">
        <v>99</v>
      </c>
      <c r="B100" t="s">
        <v>163</v>
      </c>
      <c r="C100" t="s">
        <v>70</v>
      </c>
      <c r="D100" t="s">
        <v>60</v>
      </c>
      <c r="E100">
        <v>9.1999999999999993</v>
      </c>
      <c r="F100">
        <v>119</v>
      </c>
    </row>
    <row r="101" spans="1:6" x14ac:dyDescent="0.3">
      <c r="A101">
        <v>100</v>
      </c>
      <c r="B101" t="s">
        <v>164</v>
      </c>
      <c r="C101" t="s">
        <v>72</v>
      </c>
      <c r="D101" t="s">
        <v>6</v>
      </c>
      <c r="E101">
        <v>8.8000000000000007</v>
      </c>
      <c r="F101">
        <v>120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56FEE-77F0-4729-869A-EE160BD641A1}">
  <dimension ref="A3:B7"/>
  <sheetViews>
    <sheetView workbookViewId="0">
      <selection activeCell="B5" sqref="B5"/>
    </sheetView>
  </sheetViews>
  <sheetFormatPr defaultRowHeight="14.4" x14ac:dyDescent="0.3"/>
  <cols>
    <col min="1" max="1" width="12.44140625" bestFit="1" customWidth="1"/>
    <col min="2" max="2" width="19.5546875" bestFit="1" customWidth="1"/>
  </cols>
  <sheetData>
    <row r="3" spans="1:2" x14ac:dyDescent="0.3">
      <c r="A3" s="1" t="s">
        <v>178</v>
      </c>
      <c r="B3" t="s">
        <v>180</v>
      </c>
    </row>
    <row r="4" spans="1:2" x14ac:dyDescent="0.3">
      <c r="A4" s="2" t="s">
        <v>190</v>
      </c>
      <c r="B4">
        <v>32</v>
      </c>
    </row>
    <row r="5" spans="1:2" x14ac:dyDescent="0.3">
      <c r="A5" s="2" t="s">
        <v>191</v>
      </c>
      <c r="B5">
        <v>50</v>
      </c>
    </row>
    <row r="6" spans="1:2" x14ac:dyDescent="0.3">
      <c r="A6" s="2" t="s">
        <v>192</v>
      </c>
      <c r="B6">
        <v>18</v>
      </c>
    </row>
    <row r="7" spans="1:2" x14ac:dyDescent="0.3">
      <c r="A7" s="2" t="s">
        <v>179</v>
      </c>
      <c r="B7">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4442-D0BA-472F-938E-A80665824750}">
  <dimension ref="A1:H101"/>
  <sheetViews>
    <sheetView topLeftCell="A2" workbookViewId="0">
      <selection activeCell="H4" sqref="H4"/>
    </sheetView>
  </sheetViews>
  <sheetFormatPr defaultRowHeight="14.4" x14ac:dyDescent="0.3"/>
  <cols>
    <col min="1" max="1" width="14.44140625" bestFit="1" customWidth="1"/>
    <col min="2" max="2" width="17.77734375" bestFit="1" customWidth="1"/>
    <col min="3" max="3" width="33.21875" bestFit="1" customWidth="1"/>
    <col min="4" max="4" width="10.44140625" bestFit="1" customWidth="1"/>
    <col min="5" max="5" width="8" bestFit="1" customWidth="1"/>
    <col min="6" max="6" width="8.5546875" bestFit="1" customWidth="1"/>
  </cols>
  <sheetData>
    <row r="1" spans="1:8" x14ac:dyDescent="0.3">
      <c r="A1" t="s">
        <v>46</v>
      </c>
      <c r="B1" t="s">
        <v>47</v>
      </c>
      <c r="C1" t="s">
        <v>48</v>
      </c>
      <c r="D1" t="s">
        <v>3</v>
      </c>
      <c r="E1" t="s">
        <v>49</v>
      </c>
      <c r="F1" t="s">
        <v>0</v>
      </c>
      <c r="G1" t="s">
        <v>188</v>
      </c>
      <c r="H1" t="s">
        <v>189</v>
      </c>
    </row>
    <row r="2" spans="1:8" x14ac:dyDescent="0.3">
      <c r="A2">
        <v>1</v>
      </c>
      <c r="B2" t="s">
        <v>50</v>
      </c>
      <c r="C2" t="s">
        <v>51</v>
      </c>
      <c r="D2" t="s">
        <v>6</v>
      </c>
      <c r="E2">
        <v>8.4</v>
      </c>
      <c r="F2">
        <v>101</v>
      </c>
      <c r="G2" t="str">
        <f>_xlfn.XLOOKUP(F2,job_details!$A:$A,job_details!$B:$B)</f>
        <v>Data Analyst</v>
      </c>
      <c r="H2" t="str">
        <f t="shared" ref="H2:H33" si="0">IF(E2&gt;=9,"9-10",IF(E2&gt;=8,"8-8.9",IF(E2&gt;=7,"7-7.9","Below 7")))</f>
        <v>8-8.9</v>
      </c>
    </row>
    <row r="3" spans="1:8" x14ac:dyDescent="0.3">
      <c r="A3">
        <v>2</v>
      </c>
      <c r="B3" t="s">
        <v>52</v>
      </c>
      <c r="C3" t="s">
        <v>53</v>
      </c>
      <c r="D3" t="s">
        <v>6</v>
      </c>
      <c r="E3">
        <v>7.8</v>
      </c>
      <c r="F3">
        <v>103</v>
      </c>
      <c r="G3" t="str">
        <f>_xlfn.XLOOKUP(F3,job_details!$A:$A,job_details!$B:$B)</f>
        <v>Power BI Developer</v>
      </c>
      <c r="H3" t="str">
        <f t="shared" si="0"/>
        <v>7-7.9</v>
      </c>
    </row>
    <row r="4" spans="1:8" x14ac:dyDescent="0.3">
      <c r="A4">
        <v>3</v>
      </c>
      <c r="B4" t="s">
        <v>54</v>
      </c>
      <c r="C4" t="s">
        <v>55</v>
      </c>
      <c r="D4" t="s">
        <v>6</v>
      </c>
      <c r="E4">
        <v>8.9</v>
      </c>
      <c r="F4">
        <v>102</v>
      </c>
      <c r="G4" t="str">
        <f>_xlfn.XLOOKUP(F4,job_details!$A:$A,job_details!$B:$B)</f>
        <v>SQL Developer</v>
      </c>
      <c r="H4" t="str">
        <f t="shared" si="0"/>
        <v>8-8.9</v>
      </c>
    </row>
    <row r="5" spans="1:8" x14ac:dyDescent="0.3">
      <c r="A5">
        <v>4</v>
      </c>
      <c r="B5" t="s">
        <v>56</v>
      </c>
      <c r="C5" t="s">
        <v>57</v>
      </c>
      <c r="D5" t="s">
        <v>6</v>
      </c>
      <c r="E5">
        <v>7.5</v>
      </c>
      <c r="F5">
        <v>104</v>
      </c>
      <c r="G5" t="str">
        <f>_xlfn.XLOOKUP(F5,job_details!$A:$A,job_details!$B:$B)</f>
        <v>Business Analyst</v>
      </c>
      <c r="H5" t="str">
        <f t="shared" si="0"/>
        <v>7-7.9</v>
      </c>
    </row>
    <row r="6" spans="1:8" x14ac:dyDescent="0.3">
      <c r="A6">
        <v>5</v>
      </c>
      <c r="B6" t="s">
        <v>58</v>
      </c>
      <c r="C6" t="s">
        <v>59</v>
      </c>
      <c r="D6" t="s">
        <v>60</v>
      </c>
      <c r="E6">
        <v>9.1</v>
      </c>
      <c r="F6">
        <v>105</v>
      </c>
      <c r="G6" t="str">
        <f>_xlfn.XLOOKUP(F6,job_details!$A:$A,job_details!$B:$B)</f>
        <v>Python Developer</v>
      </c>
      <c r="H6" t="str">
        <f t="shared" si="0"/>
        <v>9-10</v>
      </c>
    </row>
    <row r="7" spans="1:8" x14ac:dyDescent="0.3">
      <c r="A7">
        <v>6</v>
      </c>
      <c r="B7" t="s">
        <v>61</v>
      </c>
      <c r="C7" t="s">
        <v>62</v>
      </c>
      <c r="D7" t="s">
        <v>6</v>
      </c>
      <c r="E7">
        <v>8.1999999999999993</v>
      </c>
      <c r="F7">
        <v>107</v>
      </c>
      <c r="G7" t="str">
        <f>_xlfn.XLOOKUP(F7,job_details!$A:$A,job_details!$B:$B)</f>
        <v>Full Stack Developer</v>
      </c>
      <c r="H7" t="str">
        <f t="shared" si="0"/>
        <v>8-8.9</v>
      </c>
    </row>
    <row r="8" spans="1:8" x14ac:dyDescent="0.3">
      <c r="A8">
        <v>7</v>
      </c>
      <c r="B8" t="s">
        <v>63</v>
      </c>
      <c r="C8" t="s">
        <v>64</v>
      </c>
      <c r="D8" t="s">
        <v>60</v>
      </c>
      <c r="E8">
        <v>7.6</v>
      </c>
      <c r="F8">
        <v>106</v>
      </c>
      <c r="G8" t="str">
        <f>_xlfn.XLOOKUP(F8,job_details!$A:$A,job_details!$B:$B)</f>
        <v>Java Developer</v>
      </c>
      <c r="H8" t="str">
        <f t="shared" si="0"/>
        <v>7-7.9</v>
      </c>
    </row>
    <row r="9" spans="1:8" x14ac:dyDescent="0.3">
      <c r="A9">
        <v>8</v>
      </c>
      <c r="B9" t="s">
        <v>65</v>
      </c>
      <c r="C9" t="s">
        <v>66</v>
      </c>
      <c r="D9" t="s">
        <v>6</v>
      </c>
      <c r="E9">
        <v>8.6999999999999993</v>
      </c>
      <c r="F9">
        <v>108</v>
      </c>
      <c r="G9" t="str">
        <f>_xlfn.XLOOKUP(F9,job_details!$A:$A,job_details!$B:$B)</f>
        <v>QA Engineer</v>
      </c>
      <c r="H9" t="str">
        <f t="shared" si="0"/>
        <v>8-8.9</v>
      </c>
    </row>
    <row r="10" spans="1:8" x14ac:dyDescent="0.3">
      <c r="A10">
        <v>9</v>
      </c>
      <c r="B10" t="s">
        <v>67</v>
      </c>
      <c r="C10" t="s">
        <v>68</v>
      </c>
      <c r="D10" t="s">
        <v>6</v>
      </c>
      <c r="E10">
        <v>7.9</v>
      </c>
      <c r="F10">
        <v>109</v>
      </c>
      <c r="G10" t="str">
        <f>_xlfn.XLOOKUP(F10,job_details!$A:$A,job_details!$B:$B)</f>
        <v>Cloud Support Engineer</v>
      </c>
      <c r="H10" t="str">
        <f t="shared" si="0"/>
        <v>7-7.9</v>
      </c>
    </row>
    <row r="11" spans="1:8" x14ac:dyDescent="0.3">
      <c r="A11">
        <v>10</v>
      </c>
      <c r="B11" t="s">
        <v>69</v>
      </c>
      <c r="C11" t="s">
        <v>70</v>
      </c>
      <c r="D11" t="s">
        <v>60</v>
      </c>
      <c r="E11">
        <v>9.3000000000000007</v>
      </c>
      <c r="F11">
        <v>110</v>
      </c>
      <c r="G11" t="str">
        <f>_xlfn.XLOOKUP(F11,job_details!$A:$A,job_details!$B:$B)</f>
        <v>AI Engineer</v>
      </c>
      <c r="H11" t="str">
        <f t="shared" si="0"/>
        <v>9-10</v>
      </c>
    </row>
    <row r="12" spans="1:8" x14ac:dyDescent="0.3">
      <c r="A12">
        <v>11</v>
      </c>
      <c r="B12" t="s">
        <v>71</v>
      </c>
      <c r="C12" t="s">
        <v>72</v>
      </c>
      <c r="D12" t="s">
        <v>6</v>
      </c>
      <c r="E12">
        <v>7.2</v>
      </c>
      <c r="F12">
        <v>111</v>
      </c>
      <c r="G12" t="str">
        <f>_xlfn.XLOOKUP(F12,job_details!$A:$A,job_details!$B:$B)</f>
        <v>Data Engineer</v>
      </c>
      <c r="H12" t="str">
        <f t="shared" si="0"/>
        <v>7-7.9</v>
      </c>
    </row>
    <row r="13" spans="1:8" x14ac:dyDescent="0.3">
      <c r="A13">
        <v>12</v>
      </c>
      <c r="B13" t="s">
        <v>73</v>
      </c>
      <c r="C13" t="s">
        <v>74</v>
      </c>
      <c r="D13" t="s">
        <v>6</v>
      </c>
      <c r="E13">
        <v>8.5</v>
      </c>
      <c r="F13">
        <v>112</v>
      </c>
      <c r="G13" t="str">
        <f>_xlfn.XLOOKUP(F13,job_details!$A:$A,job_details!$B:$B)</f>
        <v>DevOps Engineer</v>
      </c>
      <c r="H13" t="str">
        <f t="shared" si="0"/>
        <v>8-8.9</v>
      </c>
    </row>
    <row r="14" spans="1:8" x14ac:dyDescent="0.3">
      <c r="A14">
        <v>13</v>
      </c>
      <c r="B14" t="s">
        <v>75</v>
      </c>
      <c r="C14" t="s">
        <v>76</v>
      </c>
      <c r="D14" t="s">
        <v>77</v>
      </c>
      <c r="E14">
        <v>8</v>
      </c>
      <c r="F14">
        <v>113</v>
      </c>
      <c r="G14" t="str">
        <f>_xlfn.XLOOKUP(F14,job_details!$A:$A,job_details!$B:$B)</f>
        <v>Network Engineer</v>
      </c>
      <c r="H14" t="str">
        <f t="shared" si="0"/>
        <v>8-8.9</v>
      </c>
    </row>
    <row r="15" spans="1:8" x14ac:dyDescent="0.3">
      <c r="A15">
        <v>14</v>
      </c>
      <c r="B15" t="s">
        <v>78</v>
      </c>
      <c r="C15" t="s">
        <v>79</v>
      </c>
      <c r="D15" t="s">
        <v>6</v>
      </c>
      <c r="E15">
        <v>7.7</v>
      </c>
      <c r="F15">
        <v>114</v>
      </c>
      <c r="G15" t="str">
        <f>_xlfn.XLOOKUP(F15,job_details!$A:$A,job_details!$B:$B)</f>
        <v>System Administrator</v>
      </c>
      <c r="H15" t="str">
        <f t="shared" si="0"/>
        <v>7-7.9</v>
      </c>
    </row>
    <row r="16" spans="1:8" x14ac:dyDescent="0.3">
      <c r="A16">
        <v>15</v>
      </c>
      <c r="B16" t="s">
        <v>80</v>
      </c>
      <c r="C16" t="s">
        <v>51</v>
      </c>
      <c r="D16" t="s">
        <v>6</v>
      </c>
      <c r="E16">
        <v>9</v>
      </c>
      <c r="F16">
        <v>115</v>
      </c>
      <c r="G16" t="str">
        <f>_xlfn.XLOOKUP(F16,job_details!$A:$A,job_details!$B:$B)</f>
        <v>UI/UX Designer</v>
      </c>
      <c r="H16" t="str">
        <f t="shared" si="0"/>
        <v>9-10</v>
      </c>
    </row>
    <row r="17" spans="1:8" x14ac:dyDescent="0.3">
      <c r="A17">
        <v>16</v>
      </c>
      <c r="B17" t="s">
        <v>81</v>
      </c>
      <c r="C17" t="s">
        <v>53</v>
      </c>
      <c r="D17" t="s">
        <v>6</v>
      </c>
      <c r="E17">
        <v>8.3000000000000007</v>
      </c>
      <c r="F17">
        <v>116</v>
      </c>
      <c r="G17" t="str">
        <f>_xlfn.XLOOKUP(F17,job_details!$A:$A,job_details!$B:$B)</f>
        <v>Frontend Developer</v>
      </c>
      <c r="H17" t="str">
        <f t="shared" si="0"/>
        <v>8-8.9</v>
      </c>
    </row>
    <row r="18" spans="1:8" x14ac:dyDescent="0.3">
      <c r="A18">
        <v>17</v>
      </c>
      <c r="B18" t="s">
        <v>82</v>
      </c>
      <c r="C18" t="s">
        <v>55</v>
      </c>
      <c r="D18" t="s">
        <v>6</v>
      </c>
      <c r="E18">
        <v>7.4</v>
      </c>
      <c r="F18">
        <v>117</v>
      </c>
      <c r="G18" t="str">
        <f>_xlfn.XLOOKUP(F18,job_details!$A:$A,job_details!$B:$B)</f>
        <v>Backend Developer</v>
      </c>
      <c r="H18" t="str">
        <f t="shared" si="0"/>
        <v>7-7.9</v>
      </c>
    </row>
    <row r="19" spans="1:8" x14ac:dyDescent="0.3">
      <c r="A19">
        <v>18</v>
      </c>
      <c r="B19" t="s">
        <v>83</v>
      </c>
      <c r="C19" t="s">
        <v>57</v>
      </c>
      <c r="D19" t="s">
        <v>6</v>
      </c>
      <c r="E19">
        <v>8.8000000000000007</v>
      </c>
      <c r="F19">
        <v>118</v>
      </c>
      <c r="G19" t="str">
        <f>_xlfn.XLOOKUP(F19,job_details!$A:$A,job_details!$B:$B)</f>
        <v>Cyber Security Analyst</v>
      </c>
      <c r="H19" t="str">
        <f t="shared" si="0"/>
        <v>8-8.9</v>
      </c>
    </row>
    <row r="20" spans="1:8" x14ac:dyDescent="0.3">
      <c r="A20">
        <v>19</v>
      </c>
      <c r="B20" t="s">
        <v>84</v>
      </c>
      <c r="C20" t="s">
        <v>59</v>
      </c>
      <c r="D20" t="s">
        <v>60</v>
      </c>
      <c r="E20">
        <v>8.1</v>
      </c>
      <c r="F20">
        <v>119</v>
      </c>
      <c r="G20" t="str">
        <f>_xlfn.XLOOKUP(F20,job_details!$A:$A,job_details!$B:$B)</f>
        <v>Machine Learning Engineer</v>
      </c>
      <c r="H20" t="str">
        <f t="shared" si="0"/>
        <v>8-8.9</v>
      </c>
    </row>
    <row r="21" spans="1:8" x14ac:dyDescent="0.3">
      <c r="A21">
        <v>20</v>
      </c>
      <c r="B21" t="s">
        <v>85</v>
      </c>
      <c r="C21" t="s">
        <v>62</v>
      </c>
      <c r="D21" t="s">
        <v>6</v>
      </c>
      <c r="E21">
        <v>9.1999999999999993</v>
      </c>
      <c r="F21">
        <v>120</v>
      </c>
      <c r="G21" t="str">
        <f>_xlfn.XLOOKUP(F21,job_details!$A:$A,job_details!$B:$B)</f>
        <v>Technical Support Engineer</v>
      </c>
      <c r="H21" t="str">
        <f t="shared" si="0"/>
        <v>9-10</v>
      </c>
    </row>
    <row r="22" spans="1:8" x14ac:dyDescent="0.3">
      <c r="A22">
        <v>21</v>
      </c>
      <c r="B22" t="s">
        <v>86</v>
      </c>
      <c r="C22" t="s">
        <v>64</v>
      </c>
      <c r="D22" t="s">
        <v>60</v>
      </c>
      <c r="E22">
        <v>7.3</v>
      </c>
      <c r="F22">
        <v>101</v>
      </c>
      <c r="G22" t="str">
        <f>_xlfn.XLOOKUP(F22,job_details!$A:$A,job_details!$B:$B)</f>
        <v>Data Analyst</v>
      </c>
      <c r="H22" t="str">
        <f t="shared" si="0"/>
        <v>7-7.9</v>
      </c>
    </row>
    <row r="23" spans="1:8" x14ac:dyDescent="0.3">
      <c r="A23">
        <v>22</v>
      </c>
      <c r="B23" t="s">
        <v>87</v>
      </c>
      <c r="C23" t="s">
        <v>66</v>
      </c>
      <c r="D23" t="s">
        <v>6</v>
      </c>
      <c r="E23">
        <v>8.6</v>
      </c>
      <c r="F23">
        <v>102</v>
      </c>
      <c r="G23" t="str">
        <f>_xlfn.XLOOKUP(F23,job_details!$A:$A,job_details!$B:$B)</f>
        <v>SQL Developer</v>
      </c>
      <c r="H23" t="str">
        <f t="shared" si="0"/>
        <v>8-8.9</v>
      </c>
    </row>
    <row r="24" spans="1:8" x14ac:dyDescent="0.3">
      <c r="A24">
        <v>23</v>
      </c>
      <c r="B24" t="s">
        <v>88</v>
      </c>
      <c r="C24" t="s">
        <v>68</v>
      </c>
      <c r="D24" t="s">
        <v>6</v>
      </c>
      <c r="E24">
        <v>8.9</v>
      </c>
      <c r="F24">
        <v>103</v>
      </c>
      <c r="G24" t="str">
        <f>_xlfn.XLOOKUP(F24,job_details!$A:$A,job_details!$B:$B)</f>
        <v>Power BI Developer</v>
      </c>
      <c r="H24" t="str">
        <f t="shared" si="0"/>
        <v>8-8.9</v>
      </c>
    </row>
    <row r="25" spans="1:8" x14ac:dyDescent="0.3">
      <c r="A25">
        <v>24</v>
      </c>
      <c r="B25" t="s">
        <v>89</v>
      </c>
      <c r="C25" t="s">
        <v>70</v>
      </c>
      <c r="D25" t="s">
        <v>60</v>
      </c>
      <c r="E25">
        <v>7.8</v>
      </c>
      <c r="F25">
        <v>104</v>
      </c>
      <c r="G25" t="str">
        <f>_xlfn.XLOOKUP(F25,job_details!$A:$A,job_details!$B:$B)</f>
        <v>Business Analyst</v>
      </c>
      <c r="H25" t="str">
        <f t="shared" si="0"/>
        <v>7-7.9</v>
      </c>
    </row>
    <row r="26" spans="1:8" x14ac:dyDescent="0.3">
      <c r="A26">
        <v>25</v>
      </c>
      <c r="B26" t="s">
        <v>90</v>
      </c>
      <c r="C26" t="s">
        <v>72</v>
      </c>
      <c r="D26" t="s">
        <v>6</v>
      </c>
      <c r="E26">
        <v>8.4</v>
      </c>
      <c r="F26">
        <v>105</v>
      </c>
      <c r="G26" t="str">
        <f>_xlfn.XLOOKUP(F26,job_details!$A:$A,job_details!$B:$B)</f>
        <v>Python Developer</v>
      </c>
      <c r="H26" t="str">
        <f t="shared" si="0"/>
        <v>8-8.9</v>
      </c>
    </row>
    <row r="27" spans="1:8" x14ac:dyDescent="0.3">
      <c r="A27">
        <v>26</v>
      </c>
      <c r="B27" t="s">
        <v>91</v>
      </c>
      <c r="C27" t="s">
        <v>74</v>
      </c>
      <c r="D27" t="s">
        <v>6</v>
      </c>
      <c r="E27">
        <v>8.6999999999999993</v>
      </c>
      <c r="F27">
        <v>106</v>
      </c>
      <c r="G27" t="str">
        <f>_xlfn.XLOOKUP(F27,job_details!$A:$A,job_details!$B:$B)</f>
        <v>Java Developer</v>
      </c>
      <c r="H27" t="str">
        <f t="shared" si="0"/>
        <v>8-8.9</v>
      </c>
    </row>
    <row r="28" spans="1:8" x14ac:dyDescent="0.3">
      <c r="A28">
        <v>27</v>
      </c>
      <c r="B28" t="s">
        <v>92</v>
      </c>
      <c r="C28" t="s">
        <v>76</v>
      </c>
      <c r="D28" t="s">
        <v>77</v>
      </c>
      <c r="E28">
        <v>7.9</v>
      </c>
      <c r="F28">
        <v>107</v>
      </c>
      <c r="G28" t="str">
        <f>_xlfn.XLOOKUP(F28,job_details!$A:$A,job_details!$B:$B)</f>
        <v>Full Stack Developer</v>
      </c>
      <c r="H28" t="str">
        <f t="shared" si="0"/>
        <v>7-7.9</v>
      </c>
    </row>
    <row r="29" spans="1:8" x14ac:dyDescent="0.3">
      <c r="A29">
        <v>28</v>
      </c>
      <c r="B29" t="s">
        <v>93</v>
      </c>
      <c r="C29" t="s">
        <v>79</v>
      </c>
      <c r="D29" t="s">
        <v>6</v>
      </c>
      <c r="E29">
        <v>8.5</v>
      </c>
      <c r="F29">
        <v>108</v>
      </c>
      <c r="G29" t="str">
        <f>_xlfn.XLOOKUP(F29,job_details!$A:$A,job_details!$B:$B)</f>
        <v>QA Engineer</v>
      </c>
      <c r="H29" t="str">
        <f t="shared" si="0"/>
        <v>8-8.9</v>
      </c>
    </row>
    <row r="30" spans="1:8" x14ac:dyDescent="0.3">
      <c r="A30">
        <v>29</v>
      </c>
      <c r="B30" t="s">
        <v>94</v>
      </c>
      <c r="C30" t="s">
        <v>51</v>
      </c>
      <c r="D30" t="s">
        <v>6</v>
      </c>
      <c r="E30">
        <v>7.6</v>
      </c>
      <c r="F30">
        <v>109</v>
      </c>
      <c r="G30" t="str">
        <f>_xlfn.XLOOKUP(F30,job_details!$A:$A,job_details!$B:$B)</f>
        <v>Cloud Support Engineer</v>
      </c>
      <c r="H30" t="str">
        <f t="shared" si="0"/>
        <v>7-7.9</v>
      </c>
    </row>
    <row r="31" spans="1:8" x14ac:dyDescent="0.3">
      <c r="A31">
        <v>30</v>
      </c>
      <c r="B31" t="s">
        <v>95</v>
      </c>
      <c r="C31" t="s">
        <v>53</v>
      </c>
      <c r="D31" t="s">
        <v>6</v>
      </c>
      <c r="E31">
        <v>9.1</v>
      </c>
      <c r="F31">
        <v>110</v>
      </c>
      <c r="G31" t="str">
        <f>_xlfn.XLOOKUP(F31,job_details!$A:$A,job_details!$B:$B)</f>
        <v>AI Engineer</v>
      </c>
      <c r="H31" t="str">
        <f t="shared" si="0"/>
        <v>9-10</v>
      </c>
    </row>
    <row r="32" spans="1:8" x14ac:dyDescent="0.3">
      <c r="A32">
        <v>31</v>
      </c>
      <c r="B32" t="s">
        <v>96</v>
      </c>
      <c r="C32" t="s">
        <v>55</v>
      </c>
      <c r="D32" t="s">
        <v>6</v>
      </c>
      <c r="E32">
        <v>8.1999999999999993</v>
      </c>
      <c r="F32">
        <v>111</v>
      </c>
      <c r="G32" t="str">
        <f>_xlfn.XLOOKUP(F32,job_details!$A:$A,job_details!$B:$B)</f>
        <v>Data Engineer</v>
      </c>
      <c r="H32" t="str">
        <f t="shared" si="0"/>
        <v>8-8.9</v>
      </c>
    </row>
    <row r="33" spans="1:8" x14ac:dyDescent="0.3">
      <c r="A33">
        <v>32</v>
      </c>
      <c r="B33" t="s">
        <v>97</v>
      </c>
      <c r="C33" t="s">
        <v>57</v>
      </c>
      <c r="D33" t="s">
        <v>6</v>
      </c>
      <c r="E33">
        <v>7.8</v>
      </c>
      <c r="F33">
        <v>112</v>
      </c>
      <c r="G33" t="str">
        <f>_xlfn.XLOOKUP(F33,job_details!$A:$A,job_details!$B:$B)</f>
        <v>DevOps Engineer</v>
      </c>
      <c r="H33" t="str">
        <f t="shared" si="0"/>
        <v>7-7.9</v>
      </c>
    </row>
    <row r="34" spans="1:8" x14ac:dyDescent="0.3">
      <c r="A34">
        <v>33</v>
      </c>
      <c r="B34" t="s">
        <v>98</v>
      </c>
      <c r="C34" t="s">
        <v>59</v>
      </c>
      <c r="D34" t="s">
        <v>60</v>
      </c>
      <c r="E34">
        <v>8.9</v>
      </c>
      <c r="F34">
        <v>113</v>
      </c>
      <c r="G34" t="str">
        <f>_xlfn.XLOOKUP(F34,job_details!$A:$A,job_details!$B:$B)</f>
        <v>Network Engineer</v>
      </c>
      <c r="H34" t="str">
        <f t="shared" ref="H34:H65" si="1">IF(E34&gt;=9,"9-10",IF(E34&gt;=8,"8-8.9",IF(E34&gt;=7,"7-7.9","Below 7")))</f>
        <v>8-8.9</v>
      </c>
    </row>
    <row r="35" spans="1:8" x14ac:dyDescent="0.3">
      <c r="A35">
        <v>34</v>
      </c>
      <c r="B35" t="s">
        <v>99</v>
      </c>
      <c r="C35" t="s">
        <v>70</v>
      </c>
      <c r="D35" t="s">
        <v>60</v>
      </c>
      <c r="E35">
        <v>8.3000000000000007</v>
      </c>
      <c r="F35">
        <v>114</v>
      </c>
      <c r="G35" t="str">
        <f>_xlfn.XLOOKUP(F35,job_details!$A:$A,job_details!$B:$B)</f>
        <v>System Administrator</v>
      </c>
      <c r="H35" t="str">
        <f t="shared" si="1"/>
        <v>8-8.9</v>
      </c>
    </row>
    <row r="36" spans="1:8" x14ac:dyDescent="0.3">
      <c r="A36">
        <v>35</v>
      </c>
      <c r="B36" t="s">
        <v>100</v>
      </c>
      <c r="C36" t="s">
        <v>72</v>
      </c>
      <c r="D36" t="s">
        <v>6</v>
      </c>
      <c r="E36">
        <v>7.5</v>
      </c>
      <c r="F36">
        <v>115</v>
      </c>
      <c r="G36" t="str">
        <f>_xlfn.XLOOKUP(F36,job_details!$A:$A,job_details!$B:$B)</f>
        <v>UI/UX Designer</v>
      </c>
      <c r="H36" t="str">
        <f t="shared" si="1"/>
        <v>7-7.9</v>
      </c>
    </row>
    <row r="37" spans="1:8" x14ac:dyDescent="0.3">
      <c r="A37">
        <v>36</v>
      </c>
      <c r="B37" t="s">
        <v>101</v>
      </c>
      <c r="C37" t="s">
        <v>64</v>
      </c>
      <c r="D37" t="s">
        <v>60</v>
      </c>
      <c r="E37">
        <v>9</v>
      </c>
      <c r="F37">
        <v>116</v>
      </c>
      <c r="G37" t="str">
        <f>_xlfn.XLOOKUP(F37,job_details!$A:$A,job_details!$B:$B)</f>
        <v>Frontend Developer</v>
      </c>
      <c r="H37" t="str">
        <f t="shared" si="1"/>
        <v>9-10</v>
      </c>
    </row>
    <row r="38" spans="1:8" x14ac:dyDescent="0.3">
      <c r="A38">
        <v>37</v>
      </c>
      <c r="B38" t="s">
        <v>102</v>
      </c>
      <c r="C38" t="s">
        <v>66</v>
      </c>
      <c r="D38" t="s">
        <v>6</v>
      </c>
      <c r="E38">
        <v>8.1</v>
      </c>
      <c r="F38">
        <v>117</v>
      </c>
      <c r="G38" t="str">
        <f>_xlfn.XLOOKUP(F38,job_details!$A:$A,job_details!$B:$B)</f>
        <v>Backend Developer</v>
      </c>
      <c r="H38" t="str">
        <f t="shared" si="1"/>
        <v>8-8.9</v>
      </c>
    </row>
    <row r="39" spans="1:8" x14ac:dyDescent="0.3">
      <c r="A39">
        <v>38</v>
      </c>
      <c r="B39" t="s">
        <v>103</v>
      </c>
      <c r="C39" t="s">
        <v>68</v>
      </c>
      <c r="D39" t="s">
        <v>6</v>
      </c>
      <c r="E39">
        <v>7.7</v>
      </c>
      <c r="F39">
        <v>118</v>
      </c>
      <c r="G39" t="str">
        <f>_xlfn.XLOOKUP(F39,job_details!$A:$A,job_details!$B:$B)</f>
        <v>Cyber Security Analyst</v>
      </c>
      <c r="H39" t="str">
        <f t="shared" si="1"/>
        <v>7-7.9</v>
      </c>
    </row>
    <row r="40" spans="1:8" x14ac:dyDescent="0.3">
      <c r="A40">
        <v>39</v>
      </c>
      <c r="B40" t="s">
        <v>104</v>
      </c>
      <c r="C40" t="s">
        <v>62</v>
      </c>
      <c r="D40" t="s">
        <v>6</v>
      </c>
      <c r="E40">
        <v>8.8000000000000007</v>
      </c>
      <c r="F40">
        <v>119</v>
      </c>
      <c r="G40" t="str">
        <f>_xlfn.XLOOKUP(F40,job_details!$A:$A,job_details!$B:$B)</f>
        <v>Machine Learning Engineer</v>
      </c>
      <c r="H40" t="str">
        <f t="shared" si="1"/>
        <v>8-8.9</v>
      </c>
    </row>
    <row r="41" spans="1:8" x14ac:dyDescent="0.3">
      <c r="A41">
        <v>40</v>
      </c>
      <c r="B41" t="s">
        <v>105</v>
      </c>
      <c r="C41" t="s">
        <v>79</v>
      </c>
      <c r="D41" t="s">
        <v>6</v>
      </c>
      <c r="E41">
        <v>9.4</v>
      </c>
      <c r="F41">
        <v>120</v>
      </c>
      <c r="G41" t="str">
        <f>_xlfn.XLOOKUP(F41,job_details!$A:$A,job_details!$B:$B)</f>
        <v>Technical Support Engineer</v>
      </c>
      <c r="H41" t="str">
        <f t="shared" si="1"/>
        <v>9-10</v>
      </c>
    </row>
    <row r="42" spans="1:8" x14ac:dyDescent="0.3">
      <c r="A42">
        <v>41</v>
      </c>
      <c r="B42" t="s">
        <v>106</v>
      </c>
      <c r="C42" t="s">
        <v>51</v>
      </c>
      <c r="D42" t="s">
        <v>6</v>
      </c>
      <c r="E42">
        <v>8</v>
      </c>
      <c r="F42">
        <v>101</v>
      </c>
      <c r="G42" t="str">
        <f>_xlfn.XLOOKUP(F42,job_details!$A:$A,job_details!$B:$B)</f>
        <v>Data Analyst</v>
      </c>
      <c r="H42" t="str">
        <f t="shared" si="1"/>
        <v>8-8.9</v>
      </c>
    </row>
    <row r="43" spans="1:8" x14ac:dyDescent="0.3">
      <c r="A43">
        <v>42</v>
      </c>
      <c r="B43" t="s">
        <v>107</v>
      </c>
      <c r="C43" t="s">
        <v>53</v>
      </c>
      <c r="D43" t="s">
        <v>6</v>
      </c>
      <c r="E43">
        <v>8.6</v>
      </c>
      <c r="F43">
        <v>102</v>
      </c>
      <c r="G43" t="str">
        <f>_xlfn.XLOOKUP(F43,job_details!$A:$A,job_details!$B:$B)</f>
        <v>SQL Developer</v>
      </c>
      <c r="H43" t="str">
        <f t="shared" si="1"/>
        <v>8-8.9</v>
      </c>
    </row>
    <row r="44" spans="1:8" x14ac:dyDescent="0.3">
      <c r="A44">
        <v>43</v>
      </c>
      <c r="B44" t="s">
        <v>108</v>
      </c>
      <c r="C44" t="s">
        <v>55</v>
      </c>
      <c r="D44" t="s">
        <v>6</v>
      </c>
      <c r="E44">
        <v>7.4</v>
      </c>
      <c r="F44">
        <v>103</v>
      </c>
      <c r="G44" t="str">
        <f>_xlfn.XLOOKUP(F44,job_details!$A:$A,job_details!$B:$B)</f>
        <v>Power BI Developer</v>
      </c>
      <c r="H44" t="str">
        <f t="shared" si="1"/>
        <v>7-7.9</v>
      </c>
    </row>
    <row r="45" spans="1:8" x14ac:dyDescent="0.3">
      <c r="A45">
        <v>44</v>
      </c>
      <c r="B45" t="s">
        <v>109</v>
      </c>
      <c r="C45" t="s">
        <v>57</v>
      </c>
      <c r="D45" t="s">
        <v>6</v>
      </c>
      <c r="E45">
        <v>8.9</v>
      </c>
      <c r="F45">
        <v>104</v>
      </c>
      <c r="G45" t="str">
        <f>_xlfn.XLOOKUP(F45,job_details!$A:$A,job_details!$B:$B)</f>
        <v>Business Analyst</v>
      </c>
      <c r="H45" t="str">
        <f t="shared" si="1"/>
        <v>8-8.9</v>
      </c>
    </row>
    <row r="46" spans="1:8" x14ac:dyDescent="0.3">
      <c r="A46">
        <v>45</v>
      </c>
      <c r="B46" t="s">
        <v>110</v>
      </c>
      <c r="C46" t="s">
        <v>59</v>
      </c>
      <c r="D46" t="s">
        <v>60</v>
      </c>
      <c r="E46">
        <v>8.1999999999999993</v>
      </c>
      <c r="F46">
        <v>105</v>
      </c>
      <c r="G46" t="str">
        <f>_xlfn.XLOOKUP(F46,job_details!$A:$A,job_details!$B:$B)</f>
        <v>Python Developer</v>
      </c>
      <c r="H46" t="str">
        <f t="shared" si="1"/>
        <v>8-8.9</v>
      </c>
    </row>
    <row r="47" spans="1:8" x14ac:dyDescent="0.3">
      <c r="A47">
        <v>46</v>
      </c>
      <c r="B47" t="s">
        <v>111</v>
      </c>
      <c r="C47" t="s">
        <v>70</v>
      </c>
      <c r="D47" t="s">
        <v>60</v>
      </c>
      <c r="E47">
        <v>7.6</v>
      </c>
      <c r="F47">
        <v>106</v>
      </c>
      <c r="G47" t="str">
        <f>_xlfn.XLOOKUP(F47,job_details!$A:$A,job_details!$B:$B)</f>
        <v>Java Developer</v>
      </c>
      <c r="H47" t="str">
        <f t="shared" si="1"/>
        <v>7-7.9</v>
      </c>
    </row>
    <row r="48" spans="1:8" x14ac:dyDescent="0.3">
      <c r="A48">
        <v>47</v>
      </c>
      <c r="B48" t="s">
        <v>112</v>
      </c>
      <c r="C48" t="s">
        <v>76</v>
      </c>
      <c r="D48" t="s">
        <v>77</v>
      </c>
      <c r="E48">
        <v>8.6999999999999993</v>
      </c>
      <c r="F48">
        <v>107</v>
      </c>
      <c r="G48" t="str">
        <f>_xlfn.XLOOKUP(F48,job_details!$A:$A,job_details!$B:$B)</f>
        <v>Full Stack Developer</v>
      </c>
      <c r="H48" t="str">
        <f t="shared" si="1"/>
        <v>8-8.9</v>
      </c>
    </row>
    <row r="49" spans="1:8" x14ac:dyDescent="0.3">
      <c r="A49">
        <v>48</v>
      </c>
      <c r="B49" t="s">
        <v>113</v>
      </c>
      <c r="C49" t="s">
        <v>66</v>
      </c>
      <c r="D49" t="s">
        <v>6</v>
      </c>
      <c r="E49">
        <v>9</v>
      </c>
      <c r="F49">
        <v>108</v>
      </c>
      <c r="G49" t="str">
        <f>_xlfn.XLOOKUP(F49,job_details!$A:$A,job_details!$B:$B)</f>
        <v>QA Engineer</v>
      </c>
      <c r="H49" t="str">
        <f t="shared" si="1"/>
        <v>9-10</v>
      </c>
    </row>
    <row r="50" spans="1:8" x14ac:dyDescent="0.3">
      <c r="A50">
        <v>49</v>
      </c>
      <c r="B50" t="s">
        <v>114</v>
      </c>
      <c r="C50" t="s">
        <v>68</v>
      </c>
      <c r="D50" t="s">
        <v>6</v>
      </c>
      <c r="E50">
        <v>7.3</v>
      </c>
      <c r="F50">
        <v>109</v>
      </c>
      <c r="G50" t="str">
        <f>_xlfn.XLOOKUP(F50,job_details!$A:$A,job_details!$B:$B)</f>
        <v>Cloud Support Engineer</v>
      </c>
      <c r="H50" t="str">
        <f t="shared" si="1"/>
        <v>7-7.9</v>
      </c>
    </row>
    <row r="51" spans="1:8" x14ac:dyDescent="0.3">
      <c r="A51">
        <v>50</v>
      </c>
      <c r="B51" t="s">
        <v>115</v>
      </c>
      <c r="C51" t="s">
        <v>72</v>
      </c>
      <c r="D51" t="s">
        <v>6</v>
      </c>
      <c r="E51">
        <v>8.5</v>
      </c>
      <c r="F51">
        <v>110</v>
      </c>
      <c r="G51" t="str">
        <f>_xlfn.XLOOKUP(F51,job_details!$A:$A,job_details!$B:$B)</f>
        <v>AI Engineer</v>
      </c>
      <c r="H51" t="str">
        <f t="shared" si="1"/>
        <v>8-8.9</v>
      </c>
    </row>
    <row r="52" spans="1:8" x14ac:dyDescent="0.3">
      <c r="A52">
        <v>51</v>
      </c>
      <c r="B52" t="s">
        <v>116</v>
      </c>
      <c r="C52" t="s">
        <v>74</v>
      </c>
      <c r="D52" t="s">
        <v>6</v>
      </c>
      <c r="E52">
        <v>8.3000000000000007</v>
      </c>
      <c r="F52">
        <v>111</v>
      </c>
      <c r="G52" t="str">
        <f>_xlfn.XLOOKUP(F52,job_details!$A:$A,job_details!$B:$B)</f>
        <v>Data Engineer</v>
      </c>
      <c r="H52" t="str">
        <f t="shared" si="1"/>
        <v>8-8.9</v>
      </c>
    </row>
    <row r="53" spans="1:8" x14ac:dyDescent="0.3">
      <c r="A53">
        <v>52</v>
      </c>
      <c r="B53" t="s">
        <v>117</v>
      </c>
      <c r="C53" t="s">
        <v>79</v>
      </c>
      <c r="D53" t="s">
        <v>6</v>
      </c>
      <c r="E53">
        <v>7.8</v>
      </c>
      <c r="F53">
        <v>112</v>
      </c>
      <c r="G53" t="str">
        <f>_xlfn.XLOOKUP(F53,job_details!$A:$A,job_details!$B:$B)</f>
        <v>DevOps Engineer</v>
      </c>
      <c r="H53" t="str">
        <f t="shared" si="1"/>
        <v>7-7.9</v>
      </c>
    </row>
    <row r="54" spans="1:8" x14ac:dyDescent="0.3">
      <c r="A54">
        <v>53</v>
      </c>
      <c r="B54" t="s">
        <v>118</v>
      </c>
      <c r="C54" t="s">
        <v>76</v>
      </c>
      <c r="D54" t="s">
        <v>77</v>
      </c>
      <c r="E54">
        <v>8.6</v>
      </c>
      <c r="F54">
        <v>113</v>
      </c>
      <c r="G54" t="str">
        <f>_xlfn.XLOOKUP(F54,job_details!$A:$A,job_details!$B:$B)</f>
        <v>Network Engineer</v>
      </c>
      <c r="H54" t="str">
        <f t="shared" si="1"/>
        <v>8-8.9</v>
      </c>
    </row>
    <row r="55" spans="1:8" x14ac:dyDescent="0.3">
      <c r="A55">
        <v>54</v>
      </c>
      <c r="B55" t="s">
        <v>119</v>
      </c>
      <c r="C55" t="s">
        <v>59</v>
      </c>
      <c r="D55" t="s">
        <v>60</v>
      </c>
      <c r="E55">
        <v>9.1</v>
      </c>
      <c r="F55">
        <v>114</v>
      </c>
      <c r="G55" t="str">
        <f>_xlfn.XLOOKUP(F55,job_details!$A:$A,job_details!$B:$B)</f>
        <v>System Administrator</v>
      </c>
      <c r="H55" t="str">
        <f t="shared" si="1"/>
        <v>9-10</v>
      </c>
    </row>
    <row r="56" spans="1:8" x14ac:dyDescent="0.3">
      <c r="A56">
        <v>55</v>
      </c>
      <c r="B56" t="s">
        <v>120</v>
      </c>
      <c r="C56" t="s">
        <v>51</v>
      </c>
      <c r="D56" t="s">
        <v>6</v>
      </c>
      <c r="E56">
        <v>7.5</v>
      </c>
      <c r="F56">
        <v>115</v>
      </c>
      <c r="G56" t="str">
        <f>_xlfn.XLOOKUP(F56,job_details!$A:$A,job_details!$B:$B)</f>
        <v>UI/UX Designer</v>
      </c>
      <c r="H56" t="str">
        <f t="shared" si="1"/>
        <v>7-7.9</v>
      </c>
    </row>
    <row r="57" spans="1:8" x14ac:dyDescent="0.3">
      <c r="A57">
        <v>56</v>
      </c>
      <c r="B57" t="s">
        <v>121</v>
      </c>
      <c r="C57" t="s">
        <v>53</v>
      </c>
      <c r="D57" t="s">
        <v>6</v>
      </c>
      <c r="E57">
        <v>8.8000000000000007</v>
      </c>
      <c r="F57">
        <v>116</v>
      </c>
      <c r="G57" t="str">
        <f>_xlfn.XLOOKUP(F57,job_details!$A:$A,job_details!$B:$B)</f>
        <v>Frontend Developer</v>
      </c>
      <c r="H57" t="str">
        <f t="shared" si="1"/>
        <v>8-8.9</v>
      </c>
    </row>
    <row r="58" spans="1:8" x14ac:dyDescent="0.3">
      <c r="A58">
        <v>57</v>
      </c>
      <c r="B58" t="s">
        <v>82</v>
      </c>
      <c r="C58" t="s">
        <v>55</v>
      </c>
      <c r="D58" t="s">
        <v>6</v>
      </c>
      <c r="E58">
        <v>8</v>
      </c>
      <c r="F58">
        <v>117</v>
      </c>
      <c r="G58" t="str">
        <f>_xlfn.XLOOKUP(F58,job_details!$A:$A,job_details!$B:$B)</f>
        <v>Backend Developer</v>
      </c>
      <c r="H58" t="str">
        <f t="shared" si="1"/>
        <v>8-8.9</v>
      </c>
    </row>
    <row r="59" spans="1:8" x14ac:dyDescent="0.3">
      <c r="A59">
        <v>58</v>
      </c>
      <c r="B59" t="s">
        <v>122</v>
      </c>
      <c r="C59" t="s">
        <v>57</v>
      </c>
      <c r="D59" t="s">
        <v>6</v>
      </c>
      <c r="E59">
        <v>7.7</v>
      </c>
      <c r="F59">
        <v>118</v>
      </c>
      <c r="G59" t="str">
        <f>_xlfn.XLOOKUP(F59,job_details!$A:$A,job_details!$B:$B)</f>
        <v>Cyber Security Analyst</v>
      </c>
      <c r="H59" t="str">
        <f t="shared" si="1"/>
        <v>7-7.9</v>
      </c>
    </row>
    <row r="60" spans="1:8" x14ac:dyDescent="0.3">
      <c r="A60">
        <v>59</v>
      </c>
      <c r="B60" t="s">
        <v>123</v>
      </c>
      <c r="C60" t="s">
        <v>70</v>
      </c>
      <c r="D60" t="s">
        <v>60</v>
      </c>
      <c r="E60">
        <v>9.1999999999999993</v>
      </c>
      <c r="F60">
        <v>119</v>
      </c>
      <c r="G60" t="str">
        <f>_xlfn.XLOOKUP(F60,job_details!$A:$A,job_details!$B:$B)</f>
        <v>Machine Learning Engineer</v>
      </c>
      <c r="H60" t="str">
        <f t="shared" si="1"/>
        <v>9-10</v>
      </c>
    </row>
    <row r="61" spans="1:8" x14ac:dyDescent="0.3">
      <c r="A61">
        <v>60</v>
      </c>
      <c r="B61" t="s">
        <v>124</v>
      </c>
      <c r="C61" t="s">
        <v>62</v>
      </c>
      <c r="D61" t="s">
        <v>6</v>
      </c>
      <c r="E61">
        <v>8.4</v>
      </c>
      <c r="F61">
        <v>120</v>
      </c>
      <c r="G61" t="str">
        <f>_xlfn.XLOOKUP(F61,job_details!$A:$A,job_details!$B:$B)</f>
        <v>Technical Support Engineer</v>
      </c>
      <c r="H61" t="str">
        <f t="shared" si="1"/>
        <v>8-8.9</v>
      </c>
    </row>
    <row r="62" spans="1:8" x14ac:dyDescent="0.3">
      <c r="A62">
        <v>61</v>
      </c>
      <c r="B62" t="s">
        <v>125</v>
      </c>
      <c r="C62" t="s">
        <v>72</v>
      </c>
      <c r="D62" t="s">
        <v>6</v>
      </c>
      <c r="E62">
        <v>7.9</v>
      </c>
      <c r="F62">
        <v>101</v>
      </c>
      <c r="G62" t="str">
        <f>_xlfn.XLOOKUP(F62,job_details!$A:$A,job_details!$B:$B)</f>
        <v>Data Analyst</v>
      </c>
      <c r="H62" t="str">
        <f t="shared" si="1"/>
        <v>7-7.9</v>
      </c>
    </row>
    <row r="63" spans="1:8" x14ac:dyDescent="0.3">
      <c r="A63">
        <v>62</v>
      </c>
      <c r="B63" t="s">
        <v>126</v>
      </c>
      <c r="C63" t="s">
        <v>68</v>
      </c>
      <c r="D63" t="s">
        <v>6</v>
      </c>
      <c r="E63">
        <v>8.6999999999999993</v>
      </c>
      <c r="F63">
        <v>102</v>
      </c>
      <c r="G63" t="str">
        <f>_xlfn.XLOOKUP(F63,job_details!$A:$A,job_details!$B:$B)</f>
        <v>SQL Developer</v>
      </c>
      <c r="H63" t="str">
        <f t="shared" si="1"/>
        <v>8-8.9</v>
      </c>
    </row>
    <row r="64" spans="1:8" x14ac:dyDescent="0.3">
      <c r="A64">
        <v>63</v>
      </c>
      <c r="B64" t="s">
        <v>127</v>
      </c>
      <c r="C64" t="s">
        <v>66</v>
      </c>
      <c r="D64" t="s">
        <v>6</v>
      </c>
      <c r="E64">
        <v>8.1</v>
      </c>
      <c r="F64">
        <v>103</v>
      </c>
      <c r="G64" t="str">
        <f>_xlfn.XLOOKUP(F64,job_details!$A:$A,job_details!$B:$B)</f>
        <v>Power BI Developer</v>
      </c>
      <c r="H64" t="str">
        <f t="shared" si="1"/>
        <v>8-8.9</v>
      </c>
    </row>
    <row r="65" spans="1:8" x14ac:dyDescent="0.3">
      <c r="A65">
        <v>64</v>
      </c>
      <c r="B65" t="s">
        <v>128</v>
      </c>
      <c r="C65" t="s">
        <v>64</v>
      </c>
      <c r="D65" t="s">
        <v>60</v>
      </c>
      <c r="E65">
        <v>9</v>
      </c>
      <c r="F65">
        <v>104</v>
      </c>
      <c r="G65" t="str">
        <f>_xlfn.XLOOKUP(F65,job_details!$A:$A,job_details!$B:$B)</f>
        <v>Business Analyst</v>
      </c>
      <c r="H65" t="str">
        <f t="shared" si="1"/>
        <v>9-10</v>
      </c>
    </row>
    <row r="66" spans="1:8" x14ac:dyDescent="0.3">
      <c r="A66">
        <v>65</v>
      </c>
      <c r="B66" t="s">
        <v>129</v>
      </c>
      <c r="C66" t="s">
        <v>76</v>
      </c>
      <c r="D66" t="s">
        <v>77</v>
      </c>
      <c r="E66">
        <v>7.6</v>
      </c>
      <c r="F66">
        <v>105</v>
      </c>
      <c r="G66" t="str">
        <f>_xlfn.XLOOKUP(F66,job_details!$A:$A,job_details!$B:$B)</f>
        <v>Python Developer</v>
      </c>
      <c r="H66" t="str">
        <f t="shared" ref="H66:H101" si="2">IF(E66&gt;=9,"9-10",IF(E66&gt;=8,"8-8.9",IF(E66&gt;=7,"7-7.9","Below 7")))</f>
        <v>7-7.9</v>
      </c>
    </row>
    <row r="67" spans="1:8" x14ac:dyDescent="0.3">
      <c r="A67">
        <v>66</v>
      </c>
      <c r="B67" t="s">
        <v>130</v>
      </c>
      <c r="C67" t="s">
        <v>79</v>
      </c>
      <c r="D67" t="s">
        <v>6</v>
      </c>
      <c r="E67">
        <v>8.5</v>
      </c>
      <c r="F67">
        <v>106</v>
      </c>
      <c r="G67" t="str">
        <f>_xlfn.XLOOKUP(F67,job_details!$A:$A,job_details!$B:$B)</f>
        <v>Java Developer</v>
      </c>
      <c r="H67" t="str">
        <f t="shared" si="2"/>
        <v>8-8.9</v>
      </c>
    </row>
    <row r="68" spans="1:8" x14ac:dyDescent="0.3">
      <c r="A68">
        <v>67</v>
      </c>
      <c r="B68" t="s">
        <v>131</v>
      </c>
      <c r="C68" t="s">
        <v>51</v>
      </c>
      <c r="D68" t="s">
        <v>6</v>
      </c>
      <c r="E68">
        <v>8.9</v>
      </c>
      <c r="F68">
        <v>107</v>
      </c>
      <c r="G68" t="str">
        <f>_xlfn.XLOOKUP(F68,job_details!$A:$A,job_details!$B:$B)</f>
        <v>Full Stack Developer</v>
      </c>
      <c r="H68" t="str">
        <f t="shared" si="2"/>
        <v>8-8.9</v>
      </c>
    </row>
    <row r="69" spans="1:8" x14ac:dyDescent="0.3">
      <c r="A69">
        <v>68</v>
      </c>
      <c r="B69" t="s">
        <v>132</v>
      </c>
      <c r="C69" t="s">
        <v>53</v>
      </c>
      <c r="D69" t="s">
        <v>6</v>
      </c>
      <c r="E69">
        <v>7.4</v>
      </c>
      <c r="F69">
        <v>108</v>
      </c>
      <c r="G69" t="str">
        <f>_xlfn.XLOOKUP(F69,job_details!$A:$A,job_details!$B:$B)</f>
        <v>QA Engineer</v>
      </c>
      <c r="H69" t="str">
        <f t="shared" si="2"/>
        <v>7-7.9</v>
      </c>
    </row>
    <row r="70" spans="1:8" x14ac:dyDescent="0.3">
      <c r="A70">
        <v>69</v>
      </c>
      <c r="B70" t="s">
        <v>133</v>
      </c>
      <c r="C70" t="s">
        <v>55</v>
      </c>
      <c r="D70" t="s">
        <v>6</v>
      </c>
      <c r="E70">
        <v>8.8000000000000007</v>
      </c>
      <c r="F70">
        <v>109</v>
      </c>
      <c r="G70" t="str">
        <f>_xlfn.XLOOKUP(F70,job_details!$A:$A,job_details!$B:$B)</f>
        <v>Cloud Support Engineer</v>
      </c>
      <c r="H70" t="str">
        <f t="shared" si="2"/>
        <v>8-8.9</v>
      </c>
    </row>
    <row r="71" spans="1:8" x14ac:dyDescent="0.3">
      <c r="A71">
        <v>70</v>
      </c>
      <c r="B71" t="s">
        <v>134</v>
      </c>
      <c r="C71" t="s">
        <v>57</v>
      </c>
      <c r="D71" t="s">
        <v>6</v>
      </c>
      <c r="E71">
        <v>9.3000000000000007</v>
      </c>
      <c r="F71">
        <v>110</v>
      </c>
      <c r="G71" t="str">
        <f>_xlfn.XLOOKUP(F71,job_details!$A:$A,job_details!$B:$B)</f>
        <v>AI Engineer</v>
      </c>
      <c r="H71" t="str">
        <f t="shared" si="2"/>
        <v>9-10</v>
      </c>
    </row>
    <row r="72" spans="1:8" x14ac:dyDescent="0.3">
      <c r="A72">
        <v>71</v>
      </c>
      <c r="B72" t="s">
        <v>135</v>
      </c>
      <c r="C72" t="s">
        <v>59</v>
      </c>
      <c r="D72" t="s">
        <v>60</v>
      </c>
      <c r="E72">
        <v>8.1999999999999993</v>
      </c>
      <c r="F72">
        <v>111</v>
      </c>
      <c r="G72" t="str">
        <f>_xlfn.XLOOKUP(F72,job_details!$A:$A,job_details!$B:$B)</f>
        <v>Data Engineer</v>
      </c>
      <c r="H72" t="str">
        <f t="shared" si="2"/>
        <v>8-8.9</v>
      </c>
    </row>
    <row r="73" spans="1:8" x14ac:dyDescent="0.3">
      <c r="A73">
        <v>72</v>
      </c>
      <c r="B73" t="s">
        <v>136</v>
      </c>
      <c r="C73" t="s">
        <v>70</v>
      </c>
      <c r="D73" t="s">
        <v>60</v>
      </c>
      <c r="E73">
        <v>7.9</v>
      </c>
      <c r="F73">
        <v>112</v>
      </c>
      <c r="G73" t="str">
        <f>_xlfn.XLOOKUP(F73,job_details!$A:$A,job_details!$B:$B)</f>
        <v>DevOps Engineer</v>
      </c>
      <c r="H73" t="str">
        <f t="shared" si="2"/>
        <v>7-7.9</v>
      </c>
    </row>
    <row r="74" spans="1:8" x14ac:dyDescent="0.3">
      <c r="A74">
        <v>73</v>
      </c>
      <c r="B74" t="s">
        <v>137</v>
      </c>
      <c r="C74" t="s">
        <v>72</v>
      </c>
      <c r="D74" t="s">
        <v>6</v>
      </c>
      <c r="E74">
        <v>8.6</v>
      </c>
      <c r="F74">
        <v>113</v>
      </c>
      <c r="G74" t="str">
        <f>_xlfn.XLOOKUP(F74,job_details!$A:$A,job_details!$B:$B)</f>
        <v>Network Engineer</v>
      </c>
      <c r="H74" t="str">
        <f t="shared" si="2"/>
        <v>8-8.9</v>
      </c>
    </row>
    <row r="75" spans="1:8" x14ac:dyDescent="0.3">
      <c r="A75">
        <v>74</v>
      </c>
      <c r="B75" t="s">
        <v>138</v>
      </c>
      <c r="C75" t="s">
        <v>68</v>
      </c>
      <c r="D75" t="s">
        <v>6</v>
      </c>
      <c r="E75">
        <v>9.1</v>
      </c>
      <c r="F75">
        <v>114</v>
      </c>
      <c r="G75" t="str">
        <f>_xlfn.XLOOKUP(F75,job_details!$A:$A,job_details!$B:$B)</f>
        <v>System Administrator</v>
      </c>
      <c r="H75" t="str">
        <f t="shared" si="2"/>
        <v>9-10</v>
      </c>
    </row>
    <row r="76" spans="1:8" x14ac:dyDescent="0.3">
      <c r="A76">
        <v>75</v>
      </c>
      <c r="B76" t="s">
        <v>139</v>
      </c>
      <c r="C76" t="s">
        <v>62</v>
      </c>
      <c r="D76" t="s">
        <v>6</v>
      </c>
      <c r="E76">
        <v>7.8</v>
      </c>
      <c r="F76">
        <v>115</v>
      </c>
      <c r="G76" t="str">
        <f>_xlfn.XLOOKUP(F76,job_details!$A:$A,job_details!$B:$B)</f>
        <v>UI/UX Designer</v>
      </c>
      <c r="H76" t="str">
        <f t="shared" si="2"/>
        <v>7-7.9</v>
      </c>
    </row>
    <row r="77" spans="1:8" x14ac:dyDescent="0.3">
      <c r="A77">
        <v>76</v>
      </c>
      <c r="B77" t="s">
        <v>140</v>
      </c>
      <c r="C77" t="s">
        <v>66</v>
      </c>
      <c r="D77" t="s">
        <v>6</v>
      </c>
      <c r="E77">
        <v>8.4</v>
      </c>
      <c r="F77">
        <v>116</v>
      </c>
      <c r="G77" t="str">
        <f>_xlfn.XLOOKUP(F77,job_details!$A:$A,job_details!$B:$B)</f>
        <v>Frontend Developer</v>
      </c>
      <c r="H77" t="str">
        <f t="shared" si="2"/>
        <v>8-8.9</v>
      </c>
    </row>
    <row r="78" spans="1:8" x14ac:dyDescent="0.3">
      <c r="A78">
        <v>77</v>
      </c>
      <c r="B78" t="s">
        <v>141</v>
      </c>
      <c r="C78" t="s">
        <v>64</v>
      </c>
      <c r="D78" t="s">
        <v>60</v>
      </c>
      <c r="E78">
        <v>7.7</v>
      </c>
      <c r="F78">
        <v>117</v>
      </c>
      <c r="G78" t="str">
        <f>_xlfn.XLOOKUP(F78,job_details!$A:$A,job_details!$B:$B)</f>
        <v>Backend Developer</v>
      </c>
      <c r="H78" t="str">
        <f t="shared" si="2"/>
        <v>7-7.9</v>
      </c>
    </row>
    <row r="79" spans="1:8" x14ac:dyDescent="0.3">
      <c r="A79">
        <v>78</v>
      </c>
      <c r="B79" t="s">
        <v>142</v>
      </c>
      <c r="C79" t="s">
        <v>76</v>
      </c>
      <c r="D79" t="s">
        <v>77</v>
      </c>
      <c r="E79">
        <v>8.9</v>
      </c>
      <c r="F79">
        <v>118</v>
      </c>
      <c r="G79" t="str">
        <f>_xlfn.XLOOKUP(F79,job_details!$A:$A,job_details!$B:$B)</f>
        <v>Cyber Security Analyst</v>
      </c>
      <c r="H79" t="str">
        <f t="shared" si="2"/>
        <v>8-8.9</v>
      </c>
    </row>
    <row r="80" spans="1:8" x14ac:dyDescent="0.3">
      <c r="A80">
        <v>79</v>
      </c>
      <c r="B80" t="s">
        <v>143</v>
      </c>
      <c r="C80" t="s">
        <v>79</v>
      </c>
      <c r="D80" t="s">
        <v>6</v>
      </c>
      <c r="E80">
        <v>8.1</v>
      </c>
      <c r="F80">
        <v>119</v>
      </c>
      <c r="G80" t="str">
        <f>_xlfn.XLOOKUP(F80,job_details!$A:$A,job_details!$B:$B)</f>
        <v>Machine Learning Engineer</v>
      </c>
      <c r="H80" t="str">
        <f t="shared" si="2"/>
        <v>8-8.9</v>
      </c>
    </row>
    <row r="81" spans="1:8" x14ac:dyDescent="0.3">
      <c r="A81">
        <v>80</v>
      </c>
      <c r="B81" t="s">
        <v>144</v>
      </c>
      <c r="C81" t="s">
        <v>51</v>
      </c>
      <c r="D81" t="s">
        <v>6</v>
      </c>
      <c r="E81">
        <v>9.1999999999999993</v>
      </c>
      <c r="F81">
        <v>120</v>
      </c>
      <c r="G81" t="str">
        <f>_xlfn.XLOOKUP(F81,job_details!$A:$A,job_details!$B:$B)</f>
        <v>Technical Support Engineer</v>
      </c>
      <c r="H81" t="str">
        <f t="shared" si="2"/>
        <v>9-10</v>
      </c>
    </row>
    <row r="82" spans="1:8" x14ac:dyDescent="0.3">
      <c r="A82">
        <v>81</v>
      </c>
      <c r="B82" t="s">
        <v>145</v>
      </c>
      <c r="C82" t="s">
        <v>53</v>
      </c>
      <c r="D82" t="s">
        <v>6</v>
      </c>
      <c r="E82">
        <v>7.6</v>
      </c>
      <c r="F82">
        <v>101</v>
      </c>
      <c r="G82" t="str">
        <f>_xlfn.XLOOKUP(F82,job_details!$A:$A,job_details!$B:$B)</f>
        <v>Data Analyst</v>
      </c>
      <c r="H82" t="str">
        <f t="shared" si="2"/>
        <v>7-7.9</v>
      </c>
    </row>
    <row r="83" spans="1:8" x14ac:dyDescent="0.3">
      <c r="A83">
        <v>82</v>
      </c>
      <c r="B83" t="s">
        <v>146</v>
      </c>
      <c r="C83" t="s">
        <v>55</v>
      </c>
      <c r="D83" t="s">
        <v>6</v>
      </c>
      <c r="E83">
        <v>8.8000000000000007</v>
      </c>
      <c r="F83">
        <v>102</v>
      </c>
      <c r="G83" t="str">
        <f>_xlfn.XLOOKUP(F83,job_details!$A:$A,job_details!$B:$B)</f>
        <v>SQL Developer</v>
      </c>
      <c r="H83" t="str">
        <f t="shared" si="2"/>
        <v>8-8.9</v>
      </c>
    </row>
    <row r="84" spans="1:8" x14ac:dyDescent="0.3">
      <c r="A84">
        <v>83</v>
      </c>
      <c r="B84" t="s">
        <v>147</v>
      </c>
      <c r="C84" t="s">
        <v>57</v>
      </c>
      <c r="D84" t="s">
        <v>6</v>
      </c>
      <c r="E84">
        <v>8.3000000000000007</v>
      </c>
      <c r="F84">
        <v>103</v>
      </c>
      <c r="G84" t="str">
        <f>_xlfn.XLOOKUP(F84,job_details!$A:$A,job_details!$B:$B)</f>
        <v>Power BI Developer</v>
      </c>
      <c r="H84" t="str">
        <f t="shared" si="2"/>
        <v>8-8.9</v>
      </c>
    </row>
    <row r="85" spans="1:8" x14ac:dyDescent="0.3">
      <c r="A85">
        <v>84</v>
      </c>
      <c r="B85" t="s">
        <v>148</v>
      </c>
      <c r="C85" t="s">
        <v>59</v>
      </c>
      <c r="D85" t="s">
        <v>60</v>
      </c>
      <c r="E85">
        <v>7.9</v>
      </c>
      <c r="F85">
        <v>104</v>
      </c>
      <c r="G85" t="str">
        <f>_xlfn.XLOOKUP(F85,job_details!$A:$A,job_details!$B:$B)</f>
        <v>Business Analyst</v>
      </c>
      <c r="H85" t="str">
        <f t="shared" si="2"/>
        <v>7-7.9</v>
      </c>
    </row>
    <row r="86" spans="1:8" x14ac:dyDescent="0.3">
      <c r="A86">
        <v>85</v>
      </c>
      <c r="B86" t="s">
        <v>149</v>
      </c>
      <c r="C86" t="s">
        <v>70</v>
      </c>
      <c r="D86" t="s">
        <v>60</v>
      </c>
      <c r="E86">
        <v>9</v>
      </c>
      <c r="F86">
        <v>105</v>
      </c>
      <c r="G86" t="str">
        <f>_xlfn.XLOOKUP(F86,job_details!$A:$A,job_details!$B:$B)</f>
        <v>Python Developer</v>
      </c>
      <c r="H86" t="str">
        <f t="shared" si="2"/>
        <v>9-10</v>
      </c>
    </row>
    <row r="87" spans="1:8" x14ac:dyDescent="0.3">
      <c r="A87">
        <v>86</v>
      </c>
      <c r="B87" t="s">
        <v>150</v>
      </c>
      <c r="C87" t="s">
        <v>72</v>
      </c>
      <c r="D87" t="s">
        <v>6</v>
      </c>
      <c r="E87">
        <v>8.5</v>
      </c>
      <c r="F87">
        <v>106</v>
      </c>
      <c r="G87" t="str">
        <f>_xlfn.XLOOKUP(F87,job_details!$A:$A,job_details!$B:$B)</f>
        <v>Java Developer</v>
      </c>
      <c r="H87" t="str">
        <f t="shared" si="2"/>
        <v>8-8.9</v>
      </c>
    </row>
    <row r="88" spans="1:8" x14ac:dyDescent="0.3">
      <c r="A88">
        <v>87</v>
      </c>
      <c r="B88" t="s">
        <v>151</v>
      </c>
      <c r="C88" t="s">
        <v>74</v>
      </c>
      <c r="D88" t="s">
        <v>6</v>
      </c>
      <c r="E88">
        <v>7.4</v>
      </c>
      <c r="F88">
        <v>107</v>
      </c>
      <c r="G88" t="str">
        <f>_xlfn.XLOOKUP(F88,job_details!$A:$A,job_details!$B:$B)</f>
        <v>Full Stack Developer</v>
      </c>
      <c r="H88" t="str">
        <f t="shared" si="2"/>
        <v>7-7.9</v>
      </c>
    </row>
    <row r="89" spans="1:8" x14ac:dyDescent="0.3">
      <c r="A89">
        <v>88</v>
      </c>
      <c r="B89" t="s">
        <v>152</v>
      </c>
      <c r="C89" t="s">
        <v>68</v>
      </c>
      <c r="D89" t="s">
        <v>6</v>
      </c>
      <c r="E89">
        <v>8.6999999999999993</v>
      </c>
      <c r="F89">
        <v>108</v>
      </c>
      <c r="G89" t="str">
        <f>_xlfn.XLOOKUP(F89,job_details!$A:$A,job_details!$B:$B)</f>
        <v>QA Engineer</v>
      </c>
      <c r="H89" t="str">
        <f t="shared" si="2"/>
        <v>8-8.9</v>
      </c>
    </row>
    <row r="90" spans="1:8" x14ac:dyDescent="0.3">
      <c r="A90">
        <v>89</v>
      </c>
      <c r="B90" t="s">
        <v>153</v>
      </c>
      <c r="C90" t="s">
        <v>62</v>
      </c>
      <c r="D90" t="s">
        <v>6</v>
      </c>
      <c r="E90">
        <v>8.1999999999999993</v>
      </c>
      <c r="F90">
        <v>109</v>
      </c>
      <c r="G90" t="str">
        <f>_xlfn.XLOOKUP(F90,job_details!$A:$A,job_details!$B:$B)</f>
        <v>Cloud Support Engineer</v>
      </c>
      <c r="H90" t="str">
        <f t="shared" si="2"/>
        <v>8-8.9</v>
      </c>
    </row>
    <row r="91" spans="1:8" x14ac:dyDescent="0.3">
      <c r="A91">
        <v>90</v>
      </c>
      <c r="B91" t="s">
        <v>154</v>
      </c>
      <c r="C91" t="s">
        <v>66</v>
      </c>
      <c r="D91" t="s">
        <v>6</v>
      </c>
      <c r="E91">
        <v>9.1</v>
      </c>
      <c r="F91">
        <v>110</v>
      </c>
      <c r="G91" t="str">
        <f>_xlfn.XLOOKUP(F91,job_details!$A:$A,job_details!$B:$B)</f>
        <v>AI Engineer</v>
      </c>
      <c r="H91" t="str">
        <f t="shared" si="2"/>
        <v>9-10</v>
      </c>
    </row>
    <row r="92" spans="1:8" x14ac:dyDescent="0.3">
      <c r="A92">
        <v>91</v>
      </c>
      <c r="B92" t="s">
        <v>155</v>
      </c>
      <c r="C92" t="s">
        <v>64</v>
      </c>
      <c r="D92" t="s">
        <v>60</v>
      </c>
      <c r="E92">
        <v>7.8</v>
      </c>
      <c r="F92">
        <v>111</v>
      </c>
      <c r="G92" t="str">
        <f>_xlfn.XLOOKUP(F92,job_details!$A:$A,job_details!$B:$B)</f>
        <v>Data Engineer</v>
      </c>
      <c r="H92" t="str">
        <f t="shared" si="2"/>
        <v>7-7.9</v>
      </c>
    </row>
    <row r="93" spans="1:8" x14ac:dyDescent="0.3">
      <c r="A93">
        <v>92</v>
      </c>
      <c r="B93" t="s">
        <v>156</v>
      </c>
      <c r="C93" t="s">
        <v>76</v>
      </c>
      <c r="D93" t="s">
        <v>77</v>
      </c>
      <c r="E93">
        <v>8.6</v>
      </c>
      <c r="F93">
        <v>112</v>
      </c>
      <c r="G93" t="str">
        <f>_xlfn.XLOOKUP(F93,job_details!$A:$A,job_details!$B:$B)</f>
        <v>DevOps Engineer</v>
      </c>
      <c r="H93" t="str">
        <f t="shared" si="2"/>
        <v>8-8.9</v>
      </c>
    </row>
    <row r="94" spans="1:8" x14ac:dyDescent="0.3">
      <c r="A94">
        <v>93</v>
      </c>
      <c r="B94" t="s">
        <v>157</v>
      </c>
      <c r="C94" t="s">
        <v>79</v>
      </c>
      <c r="D94" t="s">
        <v>6</v>
      </c>
      <c r="E94">
        <v>8</v>
      </c>
      <c r="F94">
        <v>113</v>
      </c>
      <c r="G94" t="str">
        <f>_xlfn.XLOOKUP(F94,job_details!$A:$A,job_details!$B:$B)</f>
        <v>Network Engineer</v>
      </c>
      <c r="H94" t="str">
        <f t="shared" si="2"/>
        <v>8-8.9</v>
      </c>
    </row>
    <row r="95" spans="1:8" x14ac:dyDescent="0.3">
      <c r="A95">
        <v>94</v>
      </c>
      <c r="B95" t="s">
        <v>158</v>
      </c>
      <c r="C95" t="s">
        <v>51</v>
      </c>
      <c r="D95" t="s">
        <v>6</v>
      </c>
      <c r="E95">
        <v>9.3000000000000007</v>
      </c>
      <c r="F95">
        <v>114</v>
      </c>
      <c r="G95" t="str">
        <f>_xlfn.XLOOKUP(F95,job_details!$A:$A,job_details!$B:$B)</f>
        <v>System Administrator</v>
      </c>
      <c r="H95" t="str">
        <f t="shared" si="2"/>
        <v>9-10</v>
      </c>
    </row>
    <row r="96" spans="1:8" x14ac:dyDescent="0.3">
      <c r="A96">
        <v>95</v>
      </c>
      <c r="B96" t="s">
        <v>159</v>
      </c>
      <c r="C96" t="s">
        <v>53</v>
      </c>
      <c r="D96" t="s">
        <v>6</v>
      </c>
      <c r="E96">
        <v>7.5</v>
      </c>
      <c r="F96">
        <v>115</v>
      </c>
      <c r="G96" t="str">
        <f>_xlfn.XLOOKUP(F96,job_details!$A:$A,job_details!$B:$B)</f>
        <v>UI/UX Designer</v>
      </c>
      <c r="H96" t="str">
        <f t="shared" si="2"/>
        <v>7-7.9</v>
      </c>
    </row>
    <row r="97" spans="1:8" x14ac:dyDescent="0.3">
      <c r="A97">
        <v>96</v>
      </c>
      <c r="B97" t="s">
        <v>160</v>
      </c>
      <c r="C97" t="s">
        <v>55</v>
      </c>
      <c r="D97" t="s">
        <v>6</v>
      </c>
      <c r="E97">
        <v>8.9</v>
      </c>
      <c r="F97">
        <v>116</v>
      </c>
      <c r="G97" t="str">
        <f>_xlfn.XLOOKUP(F97,job_details!$A:$A,job_details!$B:$B)</f>
        <v>Frontend Developer</v>
      </c>
      <c r="H97" t="str">
        <f t="shared" si="2"/>
        <v>8-8.9</v>
      </c>
    </row>
    <row r="98" spans="1:8" x14ac:dyDescent="0.3">
      <c r="A98">
        <v>97</v>
      </c>
      <c r="B98" t="s">
        <v>161</v>
      </c>
      <c r="C98" t="s">
        <v>57</v>
      </c>
      <c r="D98" t="s">
        <v>6</v>
      </c>
      <c r="E98">
        <v>8.4</v>
      </c>
      <c r="F98">
        <v>117</v>
      </c>
      <c r="G98" t="str">
        <f>_xlfn.XLOOKUP(F98,job_details!$A:$A,job_details!$B:$B)</f>
        <v>Backend Developer</v>
      </c>
      <c r="H98" t="str">
        <f t="shared" si="2"/>
        <v>8-8.9</v>
      </c>
    </row>
    <row r="99" spans="1:8" x14ac:dyDescent="0.3">
      <c r="A99">
        <v>98</v>
      </c>
      <c r="B99" t="s">
        <v>162</v>
      </c>
      <c r="C99" t="s">
        <v>59</v>
      </c>
      <c r="D99" t="s">
        <v>60</v>
      </c>
      <c r="E99">
        <v>7.7</v>
      </c>
      <c r="F99">
        <v>118</v>
      </c>
      <c r="G99" t="str">
        <f>_xlfn.XLOOKUP(F99,job_details!$A:$A,job_details!$B:$B)</f>
        <v>Cyber Security Analyst</v>
      </c>
      <c r="H99" t="str">
        <f t="shared" si="2"/>
        <v>7-7.9</v>
      </c>
    </row>
    <row r="100" spans="1:8" x14ac:dyDescent="0.3">
      <c r="A100">
        <v>99</v>
      </c>
      <c r="B100" t="s">
        <v>163</v>
      </c>
      <c r="C100" t="s">
        <v>70</v>
      </c>
      <c r="D100" t="s">
        <v>60</v>
      </c>
      <c r="E100">
        <v>9.1999999999999993</v>
      </c>
      <c r="F100">
        <v>119</v>
      </c>
      <c r="G100" t="str">
        <f>_xlfn.XLOOKUP(F100,job_details!$A:$A,job_details!$B:$B)</f>
        <v>Machine Learning Engineer</v>
      </c>
      <c r="H100" t="str">
        <f t="shared" si="2"/>
        <v>9-10</v>
      </c>
    </row>
    <row r="101" spans="1:8" x14ac:dyDescent="0.3">
      <c r="A101">
        <v>100</v>
      </c>
      <c r="B101" t="s">
        <v>164</v>
      </c>
      <c r="C101" t="s">
        <v>72</v>
      </c>
      <c r="D101" t="s">
        <v>6</v>
      </c>
      <c r="E101">
        <v>8.8000000000000007</v>
      </c>
      <c r="F101">
        <v>120</v>
      </c>
      <c r="G101" t="str">
        <f>_xlfn.XLOOKUP(F101,job_details!$A:$A,job_details!$B:$B)</f>
        <v>Technical Support Engineer</v>
      </c>
      <c r="H101" t="str">
        <f t="shared" si="2"/>
        <v>8-8.9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76BEA-7238-4A0E-B321-DEFB76FCF354}">
  <dimension ref="A1:G101"/>
  <sheetViews>
    <sheetView topLeftCell="D1" workbookViewId="0">
      <selection activeCell="I17" sqref="I17"/>
    </sheetView>
  </sheetViews>
  <sheetFormatPr defaultRowHeight="14.4" x14ac:dyDescent="0.3"/>
  <cols>
    <col min="1" max="1" width="14.44140625" bestFit="1" customWidth="1"/>
    <col min="2" max="2" width="12" bestFit="1" customWidth="1"/>
    <col min="3" max="3" width="14.33203125" bestFit="1" customWidth="1"/>
    <col min="4" max="4" width="13.109375" bestFit="1" customWidth="1"/>
    <col min="5" max="5" width="15.5546875" bestFit="1" customWidth="1"/>
    <col min="6" max="6" width="22.21875" bestFit="1" customWidth="1"/>
    <col min="7" max="7" width="22" bestFit="1" customWidth="1"/>
  </cols>
  <sheetData>
    <row r="1" spans="1:7" x14ac:dyDescent="0.3">
      <c r="A1" t="s">
        <v>46</v>
      </c>
      <c r="B1" t="s">
        <v>165</v>
      </c>
      <c r="C1" t="s">
        <v>166</v>
      </c>
      <c r="D1" t="s">
        <v>167</v>
      </c>
      <c r="E1" t="s">
        <v>168</v>
      </c>
      <c r="F1" t="s">
        <v>169</v>
      </c>
      <c r="G1" t="s">
        <v>170</v>
      </c>
    </row>
    <row r="2" spans="1:7" x14ac:dyDescent="0.3">
      <c r="A2">
        <v>1</v>
      </c>
      <c r="B2">
        <v>8</v>
      </c>
      <c r="C2">
        <v>7</v>
      </c>
      <c r="D2">
        <v>9</v>
      </c>
      <c r="E2">
        <v>8</v>
      </c>
      <c r="F2">
        <v>8</v>
      </c>
      <c r="G2">
        <v>8</v>
      </c>
    </row>
    <row r="3" spans="1:7" x14ac:dyDescent="0.3">
      <c r="A3">
        <v>2</v>
      </c>
      <c r="B3">
        <v>7</v>
      </c>
      <c r="C3">
        <v>6</v>
      </c>
      <c r="D3">
        <v>8</v>
      </c>
      <c r="E3">
        <v>9</v>
      </c>
      <c r="F3">
        <v>9</v>
      </c>
      <c r="G3">
        <v>7</v>
      </c>
    </row>
    <row r="4" spans="1:7" x14ac:dyDescent="0.3">
      <c r="A4">
        <v>3</v>
      </c>
      <c r="B4">
        <v>9</v>
      </c>
      <c r="C4">
        <v>8</v>
      </c>
      <c r="D4">
        <v>8</v>
      </c>
      <c r="E4">
        <v>7</v>
      </c>
      <c r="F4">
        <v>8</v>
      </c>
      <c r="G4">
        <v>9</v>
      </c>
    </row>
    <row r="5" spans="1:7" x14ac:dyDescent="0.3">
      <c r="A5">
        <v>4</v>
      </c>
      <c r="B5">
        <v>6</v>
      </c>
      <c r="C5">
        <v>7</v>
      </c>
      <c r="D5">
        <v>7</v>
      </c>
      <c r="E5">
        <v>8</v>
      </c>
      <c r="F5">
        <v>8</v>
      </c>
      <c r="G5">
        <v>7</v>
      </c>
    </row>
    <row r="6" spans="1:7" x14ac:dyDescent="0.3">
      <c r="A6">
        <v>5</v>
      </c>
      <c r="B6">
        <v>9</v>
      </c>
      <c r="C6">
        <v>9</v>
      </c>
      <c r="D6">
        <v>8</v>
      </c>
      <c r="E6">
        <v>8</v>
      </c>
      <c r="F6">
        <v>9</v>
      </c>
      <c r="G6">
        <v>9</v>
      </c>
    </row>
    <row r="7" spans="1:7" x14ac:dyDescent="0.3">
      <c r="A7">
        <v>6</v>
      </c>
      <c r="B7">
        <v>8</v>
      </c>
      <c r="C7">
        <v>7</v>
      </c>
      <c r="D7">
        <v>9</v>
      </c>
      <c r="E7">
        <v>9</v>
      </c>
      <c r="F7">
        <v>8</v>
      </c>
      <c r="G7">
        <v>8</v>
      </c>
    </row>
    <row r="8" spans="1:7" x14ac:dyDescent="0.3">
      <c r="A8">
        <v>7</v>
      </c>
      <c r="B8">
        <v>7</v>
      </c>
      <c r="C8">
        <v>8</v>
      </c>
      <c r="D8">
        <v>7</v>
      </c>
      <c r="E8">
        <v>6</v>
      </c>
      <c r="F8">
        <v>7</v>
      </c>
      <c r="G8">
        <v>8</v>
      </c>
    </row>
    <row r="9" spans="1:7" x14ac:dyDescent="0.3">
      <c r="A9">
        <v>8</v>
      </c>
      <c r="B9">
        <v>8</v>
      </c>
      <c r="C9">
        <v>6</v>
      </c>
      <c r="D9">
        <v>9</v>
      </c>
      <c r="E9">
        <v>8</v>
      </c>
      <c r="F9">
        <v>9</v>
      </c>
      <c r="G9">
        <v>8</v>
      </c>
    </row>
    <row r="10" spans="1:7" x14ac:dyDescent="0.3">
      <c r="A10">
        <v>9</v>
      </c>
      <c r="B10">
        <v>7</v>
      </c>
      <c r="C10">
        <v>7</v>
      </c>
      <c r="D10">
        <v>8</v>
      </c>
      <c r="E10">
        <v>7</v>
      </c>
      <c r="F10">
        <v>8</v>
      </c>
      <c r="G10">
        <v>7</v>
      </c>
    </row>
    <row r="11" spans="1:7" x14ac:dyDescent="0.3">
      <c r="A11">
        <v>10</v>
      </c>
      <c r="B11">
        <v>9</v>
      </c>
      <c r="C11">
        <v>10</v>
      </c>
      <c r="D11">
        <v>9</v>
      </c>
      <c r="E11">
        <v>8</v>
      </c>
      <c r="F11">
        <v>9</v>
      </c>
      <c r="G11">
        <v>9</v>
      </c>
    </row>
    <row r="12" spans="1:7" x14ac:dyDescent="0.3">
      <c r="A12">
        <v>11</v>
      </c>
      <c r="B12">
        <v>8</v>
      </c>
      <c r="C12">
        <v>8</v>
      </c>
      <c r="D12">
        <v>7</v>
      </c>
      <c r="E12">
        <v>8</v>
      </c>
      <c r="F12">
        <v>7</v>
      </c>
      <c r="G12">
        <v>8</v>
      </c>
    </row>
    <row r="13" spans="1:7" x14ac:dyDescent="0.3">
      <c r="A13">
        <v>12</v>
      </c>
      <c r="B13">
        <v>7</v>
      </c>
      <c r="C13">
        <v>9</v>
      </c>
      <c r="D13">
        <v>8</v>
      </c>
      <c r="E13">
        <v>9</v>
      </c>
      <c r="F13">
        <v>8</v>
      </c>
      <c r="G13">
        <v>8</v>
      </c>
    </row>
    <row r="14" spans="1:7" x14ac:dyDescent="0.3">
      <c r="A14">
        <v>13</v>
      </c>
      <c r="B14">
        <v>8</v>
      </c>
      <c r="C14">
        <v>7</v>
      </c>
      <c r="D14">
        <v>8</v>
      </c>
      <c r="E14">
        <v>7</v>
      </c>
      <c r="F14">
        <v>8</v>
      </c>
      <c r="G14">
        <v>9</v>
      </c>
    </row>
    <row r="15" spans="1:7" x14ac:dyDescent="0.3">
      <c r="A15">
        <v>14</v>
      </c>
      <c r="B15">
        <v>6</v>
      </c>
      <c r="C15">
        <v>6</v>
      </c>
      <c r="D15">
        <v>7</v>
      </c>
      <c r="E15">
        <v>7</v>
      </c>
      <c r="F15">
        <v>8</v>
      </c>
      <c r="G15">
        <v>7</v>
      </c>
    </row>
    <row r="16" spans="1:7" x14ac:dyDescent="0.3">
      <c r="A16">
        <v>15</v>
      </c>
      <c r="B16">
        <v>9</v>
      </c>
      <c r="C16">
        <v>8</v>
      </c>
      <c r="D16">
        <v>9</v>
      </c>
      <c r="E16">
        <v>8</v>
      </c>
      <c r="F16">
        <v>9</v>
      </c>
      <c r="G16">
        <v>9</v>
      </c>
    </row>
    <row r="17" spans="1:7" x14ac:dyDescent="0.3">
      <c r="A17">
        <v>16</v>
      </c>
      <c r="B17">
        <v>8</v>
      </c>
      <c r="C17">
        <v>7</v>
      </c>
      <c r="D17">
        <v>9</v>
      </c>
      <c r="E17">
        <v>9</v>
      </c>
      <c r="F17">
        <v>8</v>
      </c>
      <c r="G17">
        <v>8</v>
      </c>
    </row>
    <row r="18" spans="1:7" x14ac:dyDescent="0.3">
      <c r="A18">
        <v>17</v>
      </c>
      <c r="B18">
        <v>7</v>
      </c>
      <c r="C18">
        <v>8</v>
      </c>
      <c r="D18">
        <v>7</v>
      </c>
      <c r="E18">
        <v>8</v>
      </c>
      <c r="F18">
        <v>7</v>
      </c>
      <c r="G18">
        <v>8</v>
      </c>
    </row>
    <row r="19" spans="1:7" x14ac:dyDescent="0.3">
      <c r="A19">
        <v>18</v>
      </c>
      <c r="B19">
        <v>9</v>
      </c>
      <c r="C19">
        <v>8</v>
      </c>
      <c r="D19">
        <v>8</v>
      </c>
      <c r="E19">
        <v>9</v>
      </c>
      <c r="F19">
        <v>9</v>
      </c>
      <c r="G19">
        <v>8</v>
      </c>
    </row>
    <row r="20" spans="1:7" x14ac:dyDescent="0.3">
      <c r="A20">
        <v>19</v>
      </c>
      <c r="B20">
        <v>8</v>
      </c>
      <c r="C20">
        <v>9</v>
      </c>
      <c r="D20">
        <v>8</v>
      </c>
      <c r="E20">
        <v>8</v>
      </c>
      <c r="F20">
        <v>8</v>
      </c>
      <c r="G20">
        <v>9</v>
      </c>
    </row>
    <row r="21" spans="1:7" x14ac:dyDescent="0.3">
      <c r="A21">
        <v>20</v>
      </c>
      <c r="B21">
        <v>9</v>
      </c>
      <c r="C21">
        <v>9</v>
      </c>
      <c r="D21">
        <v>9</v>
      </c>
      <c r="E21">
        <v>9</v>
      </c>
      <c r="F21">
        <v>9</v>
      </c>
      <c r="G21">
        <v>9</v>
      </c>
    </row>
    <row r="22" spans="1:7" x14ac:dyDescent="0.3">
      <c r="A22">
        <v>21</v>
      </c>
      <c r="B22">
        <v>7</v>
      </c>
      <c r="C22">
        <v>7</v>
      </c>
      <c r="D22">
        <v>8</v>
      </c>
      <c r="E22">
        <v>7</v>
      </c>
      <c r="F22">
        <v>8</v>
      </c>
      <c r="G22">
        <v>7</v>
      </c>
    </row>
    <row r="23" spans="1:7" x14ac:dyDescent="0.3">
      <c r="A23">
        <v>22</v>
      </c>
      <c r="B23">
        <v>8</v>
      </c>
      <c r="C23">
        <v>8</v>
      </c>
      <c r="D23">
        <v>9</v>
      </c>
      <c r="E23">
        <v>8</v>
      </c>
      <c r="F23">
        <v>9</v>
      </c>
      <c r="G23">
        <v>8</v>
      </c>
    </row>
    <row r="24" spans="1:7" x14ac:dyDescent="0.3">
      <c r="A24">
        <v>23</v>
      </c>
      <c r="B24">
        <v>9</v>
      </c>
      <c r="C24">
        <v>7</v>
      </c>
      <c r="D24">
        <v>8</v>
      </c>
      <c r="E24">
        <v>9</v>
      </c>
      <c r="F24">
        <v>8</v>
      </c>
      <c r="G24">
        <v>9</v>
      </c>
    </row>
    <row r="25" spans="1:7" x14ac:dyDescent="0.3">
      <c r="A25">
        <v>24</v>
      </c>
      <c r="B25">
        <v>7</v>
      </c>
      <c r="C25">
        <v>8</v>
      </c>
      <c r="D25">
        <v>7</v>
      </c>
      <c r="E25">
        <v>8</v>
      </c>
      <c r="F25">
        <v>8</v>
      </c>
      <c r="G25">
        <v>8</v>
      </c>
    </row>
    <row r="26" spans="1:7" x14ac:dyDescent="0.3">
      <c r="A26">
        <v>25</v>
      </c>
      <c r="B26">
        <v>8</v>
      </c>
      <c r="C26">
        <v>9</v>
      </c>
      <c r="D26">
        <v>8</v>
      </c>
      <c r="E26">
        <v>7</v>
      </c>
      <c r="F26">
        <v>9</v>
      </c>
      <c r="G26">
        <v>8</v>
      </c>
    </row>
    <row r="27" spans="1:7" x14ac:dyDescent="0.3">
      <c r="A27">
        <v>26</v>
      </c>
      <c r="B27">
        <v>8</v>
      </c>
      <c r="C27">
        <v>7</v>
      </c>
      <c r="D27">
        <v>8</v>
      </c>
      <c r="E27">
        <v>7</v>
      </c>
      <c r="F27">
        <v>8</v>
      </c>
      <c r="G27">
        <v>8</v>
      </c>
    </row>
    <row r="28" spans="1:7" x14ac:dyDescent="0.3">
      <c r="A28">
        <v>27</v>
      </c>
      <c r="B28">
        <v>7</v>
      </c>
      <c r="C28">
        <v>8</v>
      </c>
      <c r="D28">
        <v>7</v>
      </c>
      <c r="E28">
        <v>8</v>
      </c>
      <c r="F28">
        <v>7</v>
      </c>
      <c r="G28">
        <v>9</v>
      </c>
    </row>
    <row r="29" spans="1:7" x14ac:dyDescent="0.3">
      <c r="A29">
        <v>28</v>
      </c>
      <c r="B29">
        <v>9</v>
      </c>
      <c r="C29">
        <v>7</v>
      </c>
      <c r="D29">
        <v>9</v>
      </c>
      <c r="E29">
        <v>8</v>
      </c>
      <c r="F29">
        <v>9</v>
      </c>
      <c r="G29">
        <v>8</v>
      </c>
    </row>
    <row r="30" spans="1:7" x14ac:dyDescent="0.3">
      <c r="A30">
        <v>29</v>
      </c>
      <c r="B30">
        <v>6</v>
      </c>
      <c r="C30">
        <v>6</v>
      </c>
      <c r="D30">
        <v>7</v>
      </c>
      <c r="E30">
        <v>7</v>
      </c>
      <c r="F30">
        <v>7</v>
      </c>
      <c r="G30">
        <v>7</v>
      </c>
    </row>
    <row r="31" spans="1:7" x14ac:dyDescent="0.3">
      <c r="A31">
        <v>30</v>
      </c>
      <c r="B31">
        <v>9</v>
      </c>
      <c r="C31">
        <v>9</v>
      </c>
      <c r="D31">
        <v>8</v>
      </c>
      <c r="E31">
        <v>9</v>
      </c>
      <c r="F31">
        <v>9</v>
      </c>
      <c r="G31">
        <v>9</v>
      </c>
    </row>
    <row r="32" spans="1:7" x14ac:dyDescent="0.3">
      <c r="A32">
        <v>31</v>
      </c>
      <c r="B32">
        <v>8</v>
      </c>
      <c r="C32">
        <v>8</v>
      </c>
      <c r="D32">
        <v>8</v>
      </c>
      <c r="E32">
        <v>7</v>
      </c>
      <c r="F32">
        <v>8</v>
      </c>
      <c r="G32">
        <v>8</v>
      </c>
    </row>
    <row r="33" spans="1:7" x14ac:dyDescent="0.3">
      <c r="A33">
        <v>32</v>
      </c>
      <c r="B33">
        <v>7</v>
      </c>
      <c r="C33">
        <v>9</v>
      </c>
      <c r="D33">
        <v>8</v>
      </c>
      <c r="E33">
        <v>9</v>
      </c>
      <c r="F33">
        <v>8</v>
      </c>
      <c r="G33">
        <v>7</v>
      </c>
    </row>
    <row r="34" spans="1:7" x14ac:dyDescent="0.3">
      <c r="A34">
        <v>33</v>
      </c>
      <c r="B34">
        <v>9</v>
      </c>
      <c r="C34">
        <v>8</v>
      </c>
      <c r="D34">
        <v>9</v>
      </c>
      <c r="E34">
        <v>8</v>
      </c>
      <c r="F34">
        <v>9</v>
      </c>
      <c r="G34">
        <v>9</v>
      </c>
    </row>
    <row r="35" spans="1:7" x14ac:dyDescent="0.3">
      <c r="A35">
        <v>34</v>
      </c>
      <c r="B35">
        <v>8</v>
      </c>
      <c r="C35">
        <v>7</v>
      </c>
      <c r="D35">
        <v>8</v>
      </c>
      <c r="E35">
        <v>7</v>
      </c>
      <c r="F35">
        <v>8</v>
      </c>
      <c r="G35">
        <v>8</v>
      </c>
    </row>
    <row r="36" spans="1:7" x14ac:dyDescent="0.3">
      <c r="A36">
        <v>35</v>
      </c>
      <c r="B36">
        <v>7</v>
      </c>
      <c r="C36">
        <v>6</v>
      </c>
      <c r="D36">
        <v>7</v>
      </c>
      <c r="E36">
        <v>8</v>
      </c>
      <c r="F36">
        <v>7</v>
      </c>
      <c r="G36">
        <v>7</v>
      </c>
    </row>
    <row r="37" spans="1:7" x14ac:dyDescent="0.3">
      <c r="A37">
        <v>36</v>
      </c>
      <c r="B37">
        <v>9</v>
      </c>
      <c r="C37">
        <v>9</v>
      </c>
      <c r="D37">
        <v>9</v>
      </c>
      <c r="E37">
        <v>8</v>
      </c>
      <c r="F37">
        <v>9</v>
      </c>
      <c r="G37">
        <v>9</v>
      </c>
    </row>
    <row r="38" spans="1:7" x14ac:dyDescent="0.3">
      <c r="A38">
        <v>37</v>
      </c>
      <c r="B38">
        <v>8</v>
      </c>
      <c r="C38">
        <v>7</v>
      </c>
      <c r="D38">
        <v>8</v>
      </c>
      <c r="E38">
        <v>8</v>
      </c>
      <c r="F38">
        <v>8</v>
      </c>
      <c r="G38">
        <v>7</v>
      </c>
    </row>
    <row r="39" spans="1:7" x14ac:dyDescent="0.3">
      <c r="A39">
        <v>38</v>
      </c>
      <c r="B39">
        <v>7</v>
      </c>
      <c r="C39">
        <v>8</v>
      </c>
      <c r="D39">
        <v>7</v>
      </c>
      <c r="E39">
        <v>9</v>
      </c>
      <c r="F39">
        <v>8</v>
      </c>
      <c r="G39">
        <v>8</v>
      </c>
    </row>
    <row r="40" spans="1:7" x14ac:dyDescent="0.3">
      <c r="A40">
        <v>39</v>
      </c>
      <c r="B40">
        <v>9</v>
      </c>
      <c r="C40">
        <v>8</v>
      </c>
      <c r="D40">
        <v>9</v>
      </c>
      <c r="E40">
        <v>8</v>
      </c>
      <c r="F40">
        <v>9</v>
      </c>
      <c r="G40">
        <v>9</v>
      </c>
    </row>
    <row r="41" spans="1:7" x14ac:dyDescent="0.3">
      <c r="A41">
        <v>40</v>
      </c>
      <c r="B41">
        <v>10</v>
      </c>
      <c r="C41">
        <v>9</v>
      </c>
      <c r="D41">
        <v>9</v>
      </c>
      <c r="E41">
        <v>9</v>
      </c>
      <c r="F41">
        <v>9</v>
      </c>
      <c r="G41">
        <v>10</v>
      </c>
    </row>
    <row r="42" spans="1:7" x14ac:dyDescent="0.3">
      <c r="A42">
        <v>41</v>
      </c>
      <c r="B42">
        <v>8</v>
      </c>
      <c r="C42">
        <v>7</v>
      </c>
      <c r="D42">
        <v>8</v>
      </c>
      <c r="E42">
        <v>7</v>
      </c>
      <c r="F42">
        <v>8</v>
      </c>
      <c r="G42">
        <v>8</v>
      </c>
    </row>
    <row r="43" spans="1:7" x14ac:dyDescent="0.3">
      <c r="A43">
        <v>42</v>
      </c>
      <c r="B43">
        <v>9</v>
      </c>
      <c r="C43">
        <v>8</v>
      </c>
      <c r="D43">
        <v>9</v>
      </c>
      <c r="E43">
        <v>8</v>
      </c>
      <c r="F43">
        <v>9</v>
      </c>
      <c r="G43">
        <v>8</v>
      </c>
    </row>
    <row r="44" spans="1:7" x14ac:dyDescent="0.3">
      <c r="A44">
        <v>43</v>
      </c>
      <c r="B44">
        <v>7</v>
      </c>
      <c r="C44">
        <v>7</v>
      </c>
      <c r="D44">
        <v>8</v>
      </c>
      <c r="E44">
        <v>7</v>
      </c>
      <c r="F44">
        <v>7</v>
      </c>
      <c r="G44">
        <v>8</v>
      </c>
    </row>
    <row r="45" spans="1:7" x14ac:dyDescent="0.3">
      <c r="A45">
        <v>44</v>
      </c>
      <c r="B45">
        <v>8</v>
      </c>
      <c r="C45">
        <v>9</v>
      </c>
      <c r="D45">
        <v>8</v>
      </c>
      <c r="E45">
        <v>9</v>
      </c>
      <c r="F45">
        <v>8</v>
      </c>
      <c r="G45">
        <v>9</v>
      </c>
    </row>
    <row r="46" spans="1:7" x14ac:dyDescent="0.3">
      <c r="A46">
        <v>45</v>
      </c>
      <c r="B46">
        <v>9</v>
      </c>
      <c r="C46">
        <v>8</v>
      </c>
      <c r="D46">
        <v>9</v>
      </c>
      <c r="E46">
        <v>8</v>
      </c>
      <c r="F46">
        <v>9</v>
      </c>
      <c r="G46">
        <v>9</v>
      </c>
    </row>
    <row r="47" spans="1:7" x14ac:dyDescent="0.3">
      <c r="A47">
        <v>46</v>
      </c>
      <c r="B47">
        <v>7</v>
      </c>
      <c r="C47">
        <v>8</v>
      </c>
      <c r="D47">
        <v>7</v>
      </c>
      <c r="E47">
        <v>8</v>
      </c>
      <c r="F47">
        <v>8</v>
      </c>
      <c r="G47">
        <v>7</v>
      </c>
    </row>
    <row r="48" spans="1:7" x14ac:dyDescent="0.3">
      <c r="A48">
        <v>47</v>
      </c>
      <c r="B48">
        <v>8</v>
      </c>
      <c r="C48">
        <v>9</v>
      </c>
      <c r="D48">
        <v>8</v>
      </c>
      <c r="E48">
        <v>9</v>
      </c>
      <c r="F48">
        <v>9</v>
      </c>
      <c r="G48">
        <v>8</v>
      </c>
    </row>
    <row r="49" spans="1:7" x14ac:dyDescent="0.3">
      <c r="A49">
        <v>48</v>
      </c>
      <c r="B49">
        <v>9</v>
      </c>
      <c r="C49">
        <v>7</v>
      </c>
      <c r="D49">
        <v>9</v>
      </c>
      <c r="E49">
        <v>8</v>
      </c>
      <c r="F49">
        <v>8</v>
      </c>
      <c r="G49">
        <v>9</v>
      </c>
    </row>
    <row r="50" spans="1:7" x14ac:dyDescent="0.3">
      <c r="A50">
        <v>49</v>
      </c>
      <c r="B50">
        <v>6</v>
      </c>
      <c r="C50">
        <v>7</v>
      </c>
      <c r="D50">
        <v>7</v>
      </c>
      <c r="E50">
        <v>7</v>
      </c>
      <c r="F50">
        <v>8</v>
      </c>
      <c r="G50">
        <v>7</v>
      </c>
    </row>
    <row r="51" spans="1:7" x14ac:dyDescent="0.3">
      <c r="A51">
        <v>50</v>
      </c>
      <c r="B51">
        <v>8</v>
      </c>
      <c r="C51">
        <v>8</v>
      </c>
      <c r="D51">
        <v>9</v>
      </c>
      <c r="E51">
        <v>9</v>
      </c>
      <c r="F51">
        <v>9</v>
      </c>
      <c r="G51">
        <v>8</v>
      </c>
    </row>
    <row r="52" spans="1:7" x14ac:dyDescent="0.3">
      <c r="A52">
        <v>51</v>
      </c>
      <c r="B52">
        <v>8</v>
      </c>
      <c r="C52">
        <v>8</v>
      </c>
      <c r="D52">
        <v>9</v>
      </c>
      <c r="E52">
        <v>8</v>
      </c>
      <c r="F52">
        <v>8</v>
      </c>
      <c r="G52">
        <v>9</v>
      </c>
    </row>
    <row r="53" spans="1:7" x14ac:dyDescent="0.3">
      <c r="A53">
        <v>52</v>
      </c>
      <c r="B53">
        <v>7</v>
      </c>
      <c r="C53">
        <v>7</v>
      </c>
      <c r="D53">
        <v>8</v>
      </c>
      <c r="E53">
        <v>8</v>
      </c>
      <c r="F53">
        <v>7</v>
      </c>
      <c r="G53">
        <v>8</v>
      </c>
    </row>
    <row r="54" spans="1:7" x14ac:dyDescent="0.3">
      <c r="A54">
        <v>53</v>
      </c>
      <c r="B54">
        <v>9</v>
      </c>
      <c r="C54">
        <v>8</v>
      </c>
      <c r="D54">
        <v>9</v>
      </c>
      <c r="E54">
        <v>7</v>
      </c>
      <c r="F54">
        <v>9</v>
      </c>
      <c r="G54">
        <v>9</v>
      </c>
    </row>
    <row r="55" spans="1:7" x14ac:dyDescent="0.3">
      <c r="A55">
        <v>54</v>
      </c>
      <c r="B55">
        <v>8</v>
      </c>
      <c r="C55">
        <v>9</v>
      </c>
      <c r="D55">
        <v>8</v>
      </c>
      <c r="E55">
        <v>9</v>
      </c>
      <c r="F55">
        <v>8</v>
      </c>
      <c r="G55">
        <v>8</v>
      </c>
    </row>
    <row r="56" spans="1:7" x14ac:dyDescent="0.3">
      <c r="A56">
        <v>55</v>
      </c>
      <c r="B56">
        <v>7</v>
      </c>
      <c r="C56">
        <v>6</v>
      </c>
      <c r="D56">
        <v>7</v>
      </c>
      <c r="E56">
        <v>7</v>
      </c>
      <c r="F56">
        <v>8</v>
      </c>
      <c r="G56">
        <v>7</v>
      </c>
    </row>
    <row r="57" spans="1:7" x14ac:dyDescent="0.3">
      <c r="A57">
        <v>56</v>
      </c>
      <c r="B57">
        <v>9</v>
      </c>
      <c r="C57">
        <v>9</v>
      </c>
      <c r="D57">
        <v>9</v>
      </c>
      <c r="E57">
        <v>8</v>
      </c>
      <c r="F57">
        <v>9</v>
      </c>
      <c r="G57">
        <v>9</v>
      </c>
    </row>
    <row r="58" spans="1:7" x14ac:dyDescent="0.3">
      <c r="A58">
        <v>57</v>
      </c>
      <c r="B58">
        <v>8</v>
      </c>
      <c r="C58">
        <v>7</v>
      </c>
      <c r="D58">
        <v>8</v>
      </c>
      <c r="E58">
        <v>8</v>
      </c>
      <c r="F58">
        <v>8</v>
      </c>
      <c r="G58">
        <v>8</v>
      </c>
    </row>
    <row r="59" spans="1:7" x14ac:dyDescent="0.3">
      <c r="A59">
        <v>58</v>
      </c>
      <c r="B59">
        <v>7</v>
      </c>
      <c r="C59">
        <v>8</v>
      </c>
      <c r="D59">
        <v>7</v>
      </c>
      <c r="E59">
        <v>9</v>
      </c>
      <c r="F59">
        <v>8</v>
      </c>
      <c r="G59">
        <v>7</v>
      </c>
    </row>
    <row r="60" spans="1:7" x14ac:dyDescent="0.3">
      <c r="A60">
        <v>59</v>
      </c>
      <c r="B60">
        <v>9</v>
      </c>
      <c r="C60">
        <v>9</v>
      </c>
      <c r="D60">
        <v>8</v>
      </c>
      <c r="E60">
        <v>9</v>
      </c>
      <c r="F60">
        <v>9</v>
      </c>
      <c r="G60">
        <v>9</v>
      </c>
    </row>
    <row r="61" spans="1:7" x14ac:dyDescent="0.3">
      <c r="A61">
        <v>60</v>
      </c>
      <c r="B61">
        <v>10</v>
      </c>
      <c r="C61">
        <v>9</v>
      </c>
      <c r="D61">
        <v>9</v>
      </c>
      <c r="E61">
        <v>10</v>
      </c>
      <c r="F61">
        <v>9</v>
      </c>
      <c r="G61">
        <v>10</v>
      </c>
    </row>
    <row r="62" spans="1:7" x14ac:dyDescent="0.3">
      <c r="A62">
        <v>61</v>
      </c>
      <c r="B62">
        <v>8</v>
      </c>
      <c r="C62">
        <v>7</v>
      </c>
      <c r="D62">
        <v>8</v>
      </c>
      <c r="E62">
        <v>7</v>
      </c>
      <c r="F62">
        <v>8</v>
      </c>
      <c r="G62">
        <v>8</v>
      </c>
    </row>
    <row r="63" spans="1:7" x14ac:dyDescent="0.3">
      <c r="A63">
        <v>62</v>
      </c>
      <c r="B63">
        <v>9</v>
      </c>
      <c r="C63">
        <v>8</v>
      </c>
      <c r="D63">
        <v>9</v>
      </c>
      <c r="E63">
        <v>8</v>
      </c>
      <c r="F63">
        <v>9</v>
      </c>
      <c r="G63">
        <v>8</v>
      </c>
    </row>
    <row r="64" spans="1:7" x14ac:dyDescent="0.3">
      <c r="A64">
        <v>63</v>
      </c>
      <c r="B64">
        <v>7</v>
      </c>
      <c r="C64">
        <v>7</v>
      </c>
      <c r="D64">
        <v>8</v>
      </c>
      <c r="E64">
        <v>7</v>
      </c>
      <c r="F64">
        <v>7</v>
      </c>
      <c r="G64">
        <v>8</v>
      </c>
    </row>
    <row r="65" spans="1:7" x14ac:dyDescent="0.3">
      <c r="A65">
        <v>64</v>
      </c>
      <c r="B65">
        <v>8</v>
      </c>
      <c r="C65">
        <v>9</v>
      </c>
      <c r="D65">
        <v>9</v>
      </c>
      <c r="E65">
        <v>8</v>
      </c>
      <c r="F65">
        <v>9</v>
      </c>
      <c r="G65">
        <v>9</v>
      </c>
    </row>
    <row r="66" spans="1:7" x14ac:dyDescent="0.3">
      <c r="A66">
        <v>65</v>
      </c>
      <c r="B66">
        <v>7</v>
      </c>
      <c r="C66">
        <v>8</v>
      </c>
      <c r="D66">
        <v>7</v>
      </c>
      <c r="E66">
        <v>8</v>
      </c>
      <c r="F66">
        <v>8</v>
      </c>
      <c r="G66">
        <v>7</v>
      </c>
    </row>
    <row r="67" spans="1:7" x14ac:dyDescent="0.3">
      <c r="A67">
        <v>66</v>
      </c>
      <c r="B67">
        <v>9</v>
      </c>
      <c r="C67">
        <v>8</v>
      </c>
      <c r="D67">
        <v>8</v>
      </c>
      <c r="E67">
        <v>9</v>
      </c>
      <c r="F67">
        <v>8</v>
      </c>
      <c r="G67">
        <v>9</v>
      </c>
    </row>
    <row r="68" spans="1:7" x14ac:dyDescent="0.3">
      <c r="A68">
        <v>67</v>
      </c>
      <c r="B68">
        <v>8</v>
      </c>
      <c r="C68">
        <v>9</v>
      </c>
      <c r="D68">
        <v>9</v>
      </c>
      <c r="E68">
        <v>8</v>
      </c>
      <c r="F68">
        <v>9</v>
      </c>
      <c r="G68">
        <v>8</v>
      </c>
    </row>
    <row r="69" spans="1:7" x14ac:dyDescent="0.3">
      <c r="A69">
        <v>68</v>
      </c>
      <c r="B69">
        <v>7</v>
      </c>
      <c r="C69">
        <v>7</v>
      </c>
      <c r="D69">
        <v>8</v>
      </c>
      <c r="E69">
        <v>7</v>
      </c>
      <c r="F69">
        <v>8</v>
      </c>
      <c r="G69">
        <v>7</v>
      </c>
    </row>
    <row r="70" spans="1:7" x14ac:dyDescent="0.3">
      <c r="A70">
        <v>69</v>
      </c>
      <c r="B70">
        <v>9</v>
      </c>
      <c r="C70">
        <v>8</v>
      </c>
      <c r="D70">
        <v>9</v>
      </c>
      <c r="E70">
        <v>9</v>
      </c>
      <c r="F70">
        <v>9</v>
      </c>
      <c r="G70">
        <v>9</v>
      </c>
    </row>
    <row r="71" spans="1:7" x14ac:dyDescent="0.3">
      <c r="A71">
        <v>70</v>
      </c>
      <c r="B71">
        <v>10</v>
      </c>
      <c r="C71">
        <v>9</v>
      </c>
      <c r="D71">
        <v>10</v>
      </c>
      <c r="E71">
        <v>9</v>
      </c>
      <c r="F71">
        <v>10</v>
      </c>
      <c r="G71">
        <v>9</v>
      </c>
    </row>
    <row r="72" spans="1:7" x14ac:dyDescent="0.3">
      <c r="A72">
        <v>71</v>
      </c>
      <c r="B72">
        <v>8</v>
      </c>
      <c r="C72">
        <v>7</v>
      </c>
      <c r="D72">
        <v>8</v>
      </c>
      <c r="E72">
        <v>8</v>
      </c>
      <c r="F72">
        <v>8</v>
      </c>
      <c r="G72">
        <v>8</v>
      </c>
    </row>
    <row r="73" spans="1:7" x14ac:dyDescent="0.3">
      <c r="A73">
        <v>72</v>
      </c>
      <c r="B73">
        <v>7</v>
      </c>
      <c r="C73">
        <v>8</v>
      </c>
      <c r="D73">
        <v>8</v>
      </c>
      <c r="E73">
        <v>7</v>
      </c>
      <c r="F73">
        <v>8</v>
      </c>
      <c r="G73">
        <v>7</v>
      </c>
    </row>
    <row r="74" spans="1:7" x14ac:dyDescent="0.3">
      <c r="A74">
        <v>73</v>
      </c>
      <c r="B74">
        <v>9</v>
      </c>
      <c r="C74">
        <v>8</v>
      </c>
      <c r="D74">
        <v>9</v>
      </c>
      <c r="E74">
        <v>8</v>
      </c>
      <c r="F74">
        <v>9</v>
      </c>
      <c r="G74">
        <v>9</v>
      </c>
    </row>
    <row r="75" spans="1:7" x14ac:dyDescent="0.3">
      <c r="A75">
        <v>74</v>
      </c>
      <c r="B75">
        <v>8</v>
      </c>
      <c r="C75">
        <v>9</v>
      </c>
      <c r="D75">
        <v>9</v>
      </c>
      <c r="E75">
        <v>9</v>
      </c>
      <c r="F75">
        <v>9</v>
      </c>
      <c r="G75">
        <v>8</v>
      </c>
    </row>
    <row r="76" spans="1:7" x14ac:dyDescent="0.3">
      <c r="A76">
        <v>75</v>
      </c>
      <c r="B76">
        <v>7</v>
      </c>
      <c r="C76">
        <v>7</v>
      </c>
      <c r="D76">
        <v>8</v>
      </c>
      <c r="E76">
        <v>8</v>
      </c>
      <c r="F76">
        <v>8</v>
      </c>
      <c r="G76">
        <v>7</v>
      </c>
    </row>
    <row r="77" spans="1:7" x14ac:dyDescent="0.3">
      <c r="A77">
        <v>76</v>
      </c>
      <c r="B77">
        <v>8</v>
      </c>
      <c r="C77">
        <v>8</v>
      </c>
      <c r="D77">
        <v>9</v>
      </c>
      <c r="E77">
        <v>8</v>
      </c>
      <c r="F77">
        <v>8</v>
      </c>
      <c r="G77">
        <v>8</v>
      </c>
    </row>
    <row r="78" spans="1:7" x14ac:dyDescent="0.3">
      <c r="A78">
        <v>77</v>
      </c>
      <c r="B78">
        <v>7</v>
      </c>
      <c r="C78">
        <v>8</v>
      </c>
      <c r="D78">
        <v>7</v>
      </c>
      <c r="E78">
        <v>8</v>
      </c>
      <c r="F78">
        <v>7</v>
      </c>
      <c r="G78">
        <v>8</v>
      </c>
    </row>
    <row r="79" spans="1:7" x14ac:dyDescent="0.3">
      <c r="A79">
        <v>78</v>
      </c>
      <c r="B79">
        <v>9</v>
      </c>
      <c r="C79">
        <v>8</v>
      </c>
      <c r="D79">
        <v>9</v>
      </c>
      <c r="E79">
        <v>8</v>
      </c>
      <c r="F79">
        <v>9</v>
      </c>
      <c r="G79">
        <v>9</v>
      </c>
    </row>
    <row r="80" spans="1:7" x14ac:dyDescent="0.3">
      <c r="A80">
        <v>79</v>
      </c>
      <c r="B80">
        <v>8</v>
      </c>
      <c r="C80">
        <v>9</v>
      </c>
      <c r="D80">
        <v>8</v>
      </c>
      <c r="E80">
        <v>9</v>
      </c>
      <c r="F80">
        <v>8</v>
      </c>
      <c r="G80">
        <v>8</v>
      </c>
    </row>
    <row r="81" spans="1:7" x14ac:dyDescent="0.3">
      <c r="A81">
        <v>80</v>
      </c>
      <c r="B81">
        <v>10</v>
      </c>
      <c r="C81">
        <v>9</v>
      </c>
      <c r="D81">
        <v>9</v>
      </c>
      <c r="E81">
        <v>10</v>
      </c>
      <c r="F81">
        <v>10</v>
      </c>
      <c r="G81">
        <v>9</v>
      </c>
    </row>
    <row r="82" spans="1:7" x14ac:dyDescent="0.3">
      <c r="A82">
        <v>81</v>
      </c>
      <c r="B82">
        <v>7</v>
      </c>
      <c r="C82">
        <v>7</v>
      </c>
      <c r="D82">
        <v>8</v>
      </c>
      <c r="E82">
        <v>7</v>
      </c>
      <c r="F82">
        <v>8</v>
      </c>
      <c r="G82">
        <v>7</v>
      </c>
    </row>
    <row r="83" spans="1:7" x14ac:dyDescent="0.3">
      <c r="A83">
        <v>82</v>
      </c>
      <c r="B83">
        <v>9</v>
      </c>
      <c r="C83">
        <v>8</v>
      </c>
      <c r="D83">
        <v>9</v>
      </c>
      <c r="E83">
        <v>8</v>
      </c>
      <c r="F83">
        <v>9</v>
      </c>
      <c r="G83">
        <v>9</v>
      </c>
    </row>
    <row r="84" spans="1:7" x14ac:dyDescent="0.3">
      <c r="A84">
        <v>83</v>
      </c>
      <c r="B84">
        <v>8</v>
      </c>
      <c r="C84">
        <v>7</v>
      </c>
      <c r="D84">
        <v>8</v>
      </c>
      <c r="E84">
        <v>8</v>
      </c>
      <c r="F84">
        <v>8</v>
      </c>
      <c r="G84">
        <v>8</v>
      </c>
    </row>
    <row r="85" spans="1:7" x14ac:dyDescent="0.3">
      <c r="A85">
        <v>84</v>
      </c>
      <c r="B85">
        <v>7</v>
      </c>
      <c r="C85">
        <v>6</v>
      </c>
      <c r="D85">
        <v>7</v>
      </c>
      <c r="E85">
        <v>7</v>
      </c>
      <c r="F85">
        <v>7</v>
      </c>
      <c r="G85">
        <v>7</v>
      </c>
    </row>
    <row r="86" spans="1:7" x14ac:dyDescent="0.3">
      <c r="A86">
        <v>85</v>
      </c>
      <c r="B86">
        <v>9</v>
      </c>
      <c r="C86">
        <v>9</v>
      </c>
      <c r="D86">
        <v>9</v>
      </c>
      <c r="E86">
        <v>8</v>
      </c>
      <c r="F86">
        <v>9</v>
      </c>
      <c r="G86">
        <v>9</v>
      </c>
    </row>
    <row r="87" spans="1:7" x14ac:dyDescent="0.3">
      <c r="A87">
        <v>86</v>
      </c>
      <c r="B87">
        <v>8</v>
      </c>
      <c r="C87">
        <v>8</v>
      </c>
      <c r="D87">
        <v>8</v>
      </c>
      <c r="E87">
        <v>9</v>
      </c>
      <c r="F87">
        <v>8</v>
      </c>
      <c r="G87">
        <v>8</v>
      </c>
    </row>
    <row r="88" spans="1:7" x14ac:dyDescent="0.3">
      <c r="A88">
        <v>87</v>
      </c>
      <c r="B88">
        <v>7</v>
      </c>
      <c r="C88">
        <v>8</v>
      </c>
      <c r="D88">
        <v>7</v>
      </c>
      <c r="E88">
        <v>8</v>
      </c>
      <c r="F88">
        <v>8</v>
      </c>
      <c r="G88">
        <v>7</v>
      </c>
    </row>
    <row r="89" spans="1:7" x14ac:dyDescent="0.3">
      <c r="A89">
        <v>88</v>
      </c>
      <c r="B89">
        <v>9</v>
      </c>
      <c r="C89">
        <v>8</v>
      </c>
      <c r="D89">
        <v>9</v>
      </c>
      <c r="E89">
        <v>9</v>
      </c>
      <c r="F89">
        <v>9</v>
      </c>
      <c r="G89">
        <v>9</v>
      </c>
    </row>
    <row r="90" spans="1:7" x14ac:dyDescent="0.3">
      <c r="A90">
        <v>89</v>
      </c>
      <c r="B90">
        <v>8</v>
      </c>
      <c r="C90">
        <v>7</v>
      </c>
      <c r="D90">
        <v>8</v>
      </c>
      <c r="E90">
        <v>7</v>
      </c>
      <c r="F90">
        <v>8</v>
      </c>
      <c r="G90">
        <v>8</v>
      </c>
    </row>
    <row r="91" spans="1:7" x14ac:dyDescent="0.3">
      <c r="A91">
        <v>90</v>
      </c>
      <c r="B91">
        <v>10</v>
      </c>
      <c r="C91">
        <v>9</v>
      </c>
      <c r="D91">
        <v>10</v>
      </c>
      <c r="E91">
        <v>9</v>
      </c>
      <c r="F91">
        <v>10</v>
      </c>
      <c r="G91">
        <v>10</v>
      </c>
    </row>
    <row r="92" spans="1:7" x14ac:dyDescent="0.3">
      <c r="A92">
        <v>91</v>
      </c>
      <c r="B92">
        <v>7</v>
      </c>
      <c r="C92">
        <v>7</v>
      </c>
      <c r="D92">
        <v>8</v>
      </c>
      <c r="E92">
        <v>8</v>
      </c>
      <c r="F92">
        <v>7</v>
      </c>
      <c r="G92">
        <v>8</v>
      </c>
    </row>
    <row r="93" spans="1:7" x14ac:dyDescent="0.3">
      <c r="A93">
        <v>92</v>
      </c>
      <c r="B93">
        <v>8</v>
      </c>
      <c r="C93">
        <v>9</v>
      </c>
      <c r="D93">
        <v>8</v>
      </c>
      <c r="E93">
        <v>9</v>
      </c>
      <c r="F93">
        <v>8</v>
      </c>
      <c r="G93">
        <v>9</v>
      </c>
    </row>
    <row r="94" spans="1:7" x14ac:dyDescent="0.3">
      <c r="A94">
        <v>93</v>
      </c>
      <c r="B94">
        <v>9</v>
      </c>
      <c r="C94">
        <v>8</v>
      </c>
      <c r="D94">
        <v>9</v>
      </c>
      <c r="E94">
        <v>8</v>
      </c>
      <c r="F94">
        <v>9</v>
      </c>
      <c r="G94">
        <v>8</v>
      </c>
    </row>
    <row r="95" spans="1:7" x14ac:dyDescent="0.3">
      <c r="A95">
        <v>94</v>
      </c>
      <c r="B95">
        <v>8</v>
      </c>
      <c r="C95">
        <v>9</v>
      </c>
      <c r="D95">
        <v>9</v>
      </c>
      <c r="E95">
        <v>9</v>
      </c>
      <c r="F95">
        <v>9</v>
      </c>
      <c r="G95">
        <v>9</v>
      </c>
    </row>
    <row r="96" spans="1:7" x14ac:dyDescent="0.3">
      <c r="A96">
        <v>95</v>
      </c>
      <c r="B96">
        <v>7</v>
      </c>
      <c r="C96">
        <v>6</v>
      </c>
      <c r="D96">
        <v>7</v>
      </c>
      <c r="E96">
        <v>8</v>
      </c>
      <c r="F96">
        <v>7</v>
      </c>
      <c r="G96">
        <v>7</v>
      </c>
    </row>
    <row r="97" spans="1:7" x14ac:dyDescent="0.3">
      <c r="A97">
        <v>96</v>
      </c>
      <c r="B97">
        <v>9</v>
      </c>
      <c r="C97">
        <v>8</v>
      </c>
      <c r="D97">
        <v>9</v>
      </c>
      <c r="E97">
        <v>9</v>
      </c>
      <c r="F97">
        <v>9</v>
      </c>
      <c r="G97">
        <v>9</v>
      </c>
    </row>
    <row r="98" spans="1:7" x14ac:dyDescent="0.3">
      <c r="A98">
        <v>97</v>
      </c>
      <c r="B98">
        <v>8</v>
      </c>
      <c r="C98">
        <v>7</v>
      </c>
      <c r="D98">
        <v>8</v>
      </c>
      <c r="E98">
        <v>8</v>
      </c>
      <c r="F98">
        <v>8</v>
      </c>
      <c r="G98">
        <v>8</v>
      </c>
    </row>
    <row r="99" spans="1:7" x14ac:dyDescent="0.3">
      <c r="A99">
        <v>98</v>
      </c>
      <c r="B99">
        <v>7</v>
      </c>
      <c r="C99">
        <v>8</v>
      </c>
      <c r="D99">
        <v>7</v>
      </c>
      <c r="E99">
        <v>7</v>
      </c>
      <c r="F99">
        <v>8</v>
      </c>
      <c r="G99">
        <v>7</v>
      </c>
    </row>
    <row r="100" spans="1:7" x14ac:dyDescent="0.3">
      <c r="A100">
        <v>99</v>
      </c>
      <c r="B100">
        <v>9</v>
      </c>
      <c r="C100">
        <v>9</v>
      </c>
      <c r="D100">
        <v>9</v>
      </c>
      <c r="E100">
        <v>8</v>
      </c>
      <c r="F100">
        <v>9</v>
      </c>
      <c r="G100">
        <v>9</v>
      </c>
    </row>
    <row r="101" spans="1:7" x14ac:dyDescent="0.3">
      <c r="A101">
        <v>100</v>
      </c>
      <c r="B101">
        <v>10</v>
      </c>
      <c r="C101">
        <v>9</v>
      </c>
      <c r="D101">
        <v>10</v>
      </c>
      <c r="E101">
        <v>10</v>
      </c>
      <c r="F101">
        <v>10</v>
      </c>
      <c r="G101">
        <v>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6B3E5-76EB-4E9F-AF08-BB67C0FC31EC}">
  <dimension ref="A1:E101"/>
  <sheetViews>
    <sheetView topLeftCell="A2" workbookViewId="0">
      <selection activeCell="B11" sqref="B11"/>
    </sheetView>
  </sheetViews>
  <sheetFormatPr defaultRowHeight="14.4" x14ac:dyDescent="0.3"/>
  <cols>
    <col min="1" max="1" width="14.44140625" bestFit="1" customWidth="1"/>
    <col min="2" max="2" width="16.109375" bestFit="1" customWidth="1"/>
    <col min="3" max="3" width="16.88671875" bestFit="1" customWidth="1"/>
    <col min="4" max="4" width="11.21875" bestFit="1" customWidth="1"/>
    <col min="5" max="5" width="13.33203125" bestFit="1" customWidth="1"/>
  </cols>
  <sheetData>
    <row r="1" spans="1:5" x14ac:dyDescent="0.3">
      <c r="A1" t="s">
        <v>46</v>
      </c>
      <c r="B1" t="s">
        <v>171</v>
      </c>
      <c r="C1" t="s">
        <v>172</v>
      </c>
      <c r="D1" t="s">
        <v>173</v>
      </c>
      <c r="E1" t="s">
        <v>174</v>
      </c>
    </row>
    <row r="2" spans="1:5" x14ac:dyDescent="0.3">
      <c r="A2">
        <v>1</v>
      </c>
      <c r="B2">
        <v>82</v>
      </c>
      <c r="C2">
        <v>85</v>
      </c>
      <c r="D2">
        <v>88</v>
      </c>
      <c r="E2" t="s">
        <v>175</v>
      </c>
    </row>
    <row r="3" spans="1:5" x14ac:dyDescent="0.3">
      <c r="A3">
        <v>2</v>
      </c>
      <c r="B3">
        <v>75</v>
      </c>
      <c r="C3">
        <v>78</v>
      </c>
      <c r="D3">
        <v>80</v>
      </c>
      <c r="E3" t="s">
        <v>175</v>
      </c>
    </row>
    <row r="4" spans="1:5" x14ac:dyDescent="0.3">
      <c r="A4">
        <v>3</v>
      </c>
      <c r="B4">
        <v>90</v>
      </c>
      <c r="C4">
        <v>92</v>
      </c>
      <c r="D4">
        <v>89</v>
      </c>
      <c r="E4" t="s">
        <v>175</v>
      </c>
    </row>
    <row r="5" spans="1:5" x14ac:dyDescent="0.3">
      <c r="A5">
        <v>4</v>
      </c>
      <c r="B5">
        <v>68</v>
      </c>
      <c r="C5">
        <v>70</v>
      </c>
      <c r="D5">
        <v>72</v>
      </c>
      <c r="E5" t="s">
        <v>176</v>
      </c>
    </row>
    <row r="6" spans="1:5" x14ac:dyDescent="0.3">
      <c r="A6">
        <v>5</v>
      </c>
      <c r="B6">
        <v>94</v>
      </c>
      <c r="C6">
        <v>91</v>
      </c>
      <c r="D6">
        <v>93</v>
      </c>
      <c r="E6" t="s">
        <v>175</v>
      </c>
    </row>
    <row r="7" spans="1:5" x14ac:dyDescent="0.3">
      <c r="A7">
        <v>6</v>
      </c>
      <c r="B7">
        <v>80</v>
      </c>
      <c r="C7">
        <v>84</v>
      </c>
      <c r="D7">
        <v>86</v>
      </c>
      <c r="E7" t="s">
        <v>175</v>
      </c>
    </row>
    <row r="8" spans="1:5" x14ac:dyDescent="0.3">
      <c r="A8">
        <v>7</v>
      </c>
      <c r="B8">
        <v>72</v>
      </c>
      <c r="C8">
        <v>75</v>
      </c>
      <c r="D8">
        <v>74</v>
      </c>
      <c r="E8" t="s">
        <v>176</v>
      </c>
    </row>
    <row r="9" spans="1:5" x14ac:dyDescent="0.3">
      <c r="A9">
        <v>8</v>
      </c>
      <c r="B9">
        <v>86</v>
      </c>
      <c r="C9">
        <v>88</v>
      </c>
      <c r="D9">
        <v>90</v>
      </c>
      <c r="E9" t="s">
        <v>175</v>
      </c>
    </row>
    <row r="10" spans="1:5" x14ac:dyDescent="0.3">
      <c r="A10">
        <v>9</v>
      </c>
      <c r="B10">
        <v>65</v>
      </c>
      <c r="C10">
        <v>68</v>
      </c>
      <c r="D10">
        <v>70</v>
      </c>
      <c r="E10" t="s">
        <v>177</v>
      </c>
    </row>
    <row r="11" spans="1:5" x14ac:dyDescent="0.3">
      <c r="A11">
        <v>10</v>
      </c>
      <c r="B11">
        <v>95</v>
      </c>
      <c r="C11">
        <v>96</v>
      </c>
      <c r="D11">
        <v>94</v>
      </c>
      <c r="E11" t="s">
        <v>175</v>
      </c>
    </row>
    <row r="12" spans="1:5" x14ac:dyDescent="0.3">
      <c r="A12">
        <v>11</v>
      </c>
      <c r="B12">
        <v>78</v>
      </c>
      <c r="C12">
        <v>80</v>
      </c>
      <c r="D12">
        <v>79</v>
      </c>
      <c r="E12" t="s">
        <v>175</v>
      </c>
    </row>
    <row r="13" spans="1:5" x14ac:dyDescent="0.3">
      <c r="A13">
        <v>12</v>
      </c>
      <c r="B13">
        <v>84</v>
      </c>
      <c r="C13">
        <v>86</v>
      </c>
      <c r="D13">
        <v>85</v>
      </c>
      <c r="E13" t="s">
        <v>175</v>
      </c>
    </row>
    <row r="14" spans="1:5" x14ac:dyDescent="0.3">
      <c r="A14">
        <v>13</v>
      </c>
      <c r="B14">
        <v>81</v>
      </c>
      <c r="C14">
        <v>83</v>
      </c>
      <c r="D14">
        <v>84</v>
      </c>
      <c r="E14" t="s">
        <v>175</v>
      </c>
    </row>
    <row r="15" spans="1:5" x14ac:dyDescent="0.3">
      <c r="A15">
        <v>14</v>
      </c>
      <c r="B15">
        <v>60</v>
      </c>
      <c r="C15">
        <v>65</v>
      </c>
      <c r="D15">
        <v>68</v>
      </c>
      <c r="E15" t="s">
        <v>177</v>
      </c>
    </row>
    <row r="16" spans="1:5" x14ac:dyDescent="0.3">
      <c r="A16">
        <v>15</v>
      </c>
      <c r="B16">
        <v>91</v>
      </c>
      <c r="C16">
        <v>93</v>
      </c>
      <c r="D16">
        <v>92</v>
      </c>
      <c r="E16" t="s">
        <v>175</v>
      </c>
    </row>
    <row r="17" spans="1:5" x14ac:dyDescent="0.3">
      <c r="A17">
        <v>16</v>
      </c>
      <c r="B17">
        <v>85</v>
      </c>
      <c r="C17">
        <v>87</v>
      </c>
      <c r="D17">
        <v>88</v>
      </c>
      <c r="E17" t="s">
        <v>175</v>
      </c>
    </row>
    <row r="18" spans="1:5" x14ac:dyDescent="0.3">
      <c r="A18">
        <v>17</v>
      </c>
      <c r="B18">
        <v>74</v>
      </c>
      <c r="C18">
        <v>76</v>
      </c>
      <c r="D18">
        <v>75</v>
      </c>
      <c r="E18" t="s">
        <v>176</v>
      </c>
    </row>
    <row r="19" spans="1:5" x14ac:dyDescent="0.3">
      <c r="A19">
        <v>18</v>
      </c>
      <c r="B19">
        <v>89</v>
      </c>
      <c r="C19">
        <v>90</v>
      </c>
      <c r="D19">
        <v>91</v>
      </c>
      <c r="E19" t="s">
        <v>175</v>
      </c>
    </row>
    <row r="20" spans="1:5" x14ac:dyDescent="0.3">
      <c r="A20">
        <v>19</v>
      </c>
      <c r="B20">
        <v>83</v>
      </c>
      <c r="C20">
        <v>85</v>
      </c>
      <c r="D20">
        <v>84</v>
      </c>
      <c r="E20" t="s">
        <v>175</v>
      </c>
    </row>
    <row r="21" spans="1:5" x14ac:dyDescent="0.3">
      <c r="A21">
        <v>20</v>
      </c>
      <c r="B21">
        <v>97</v>
      </c>
      <c r="C21">
        <v>96</v>
      </c>
      <c r="D21">
        <v>98</v>
      </c>
      <c r="E21" t="s">
        <v>175</v>
      </c>
    </row>
    <row r="22" spans="1:5" x14ac:dyDescent="0.3">
      <c r="A22">
        <v>21</v>
      </c>
      <c r="B22">
        <v>71</v>
      </c>
      <c r="C22">
        <v>73</v>
      </c>
      <c r="D22">
        <v>72</v>
      </c>
      <c r="E22" t="s">
        <v>176</v>
      </c>
    </row>
    <row r="23" spans="1:5" x14ac:dyDescent="0.3">
      <c r="A23">
        <v>22</v>
      </c>
      <c r="B23">
        <v>86</v>
      </c>
      <c r="C23">
        <v>88</v>
      </c>
      <c r="D23">
        <v>87</v>
      </c>
      <c r="E23" t="s">
        <v>175</v>
      </c>
    </row>
    <row r="24" spans="1:5" x14ac:dyDescent="0.3">
      <c r="A24">
        <v>23</v>
      </c>
      <c r="B24">
        <v>90</v>
      </c>
      <c r="C24">
        <v>89</v>
      </c>
      <c r="D24">
        <v>91</v>
      </c>
      <c r="E24" t="s">
        <v>175</v>
      </c>
    </row>
    <row r="25" spans="1:5" x14ac:dyDescent="0.3">
      <c r="A25">
        <v>24</v>
      </c>
      <c r="B25">
        <v>76</v>
      </c>
      <c r="C25">
        <v>78</v>
      </c>
      <c r="D25">
        <v>79</v>
      </c>
      <c r="E25" t="s">
        <v>175</v>
      </c>
    </row>
    <row r="26" spans="1:5" x14ac:dyDescent="0.3">
      <c r="A26">
        <v>25</v>
      </c>
      <c r="B26">
        <v>82</v>
      </c>
      <c r="C26">
        <v>84</v>
      </c>
      <c r="D26">
        <v>85</v>
      </c>
      <c r="E26" t="s">
        <v>175</v>
      </c>
    </row>
    <row r="27" spans="1:5" x14ac:dyDescent="0.3">
      <c r="A27">
        <v>26</v>
      </c>
      <c r="B27">
        <v>84</v>
      </c>
      <c r="C27">
        <v>86</v>
      </c>
      <c r="D27">
        <v>85</v>
      </c>
      <c r="E27" t="s">
        <v>175</v>
      </c>
    </row>
    <row r="28" spans="1:5" x14ac:dyDescent="0.3">
      <c r="A28">
        <v>27</v>
      </c>
      <c r="B28">
        <v>73</v>
      </c>
      <c r="C28">
        <v>75</v>
      </c>
      <c r="D28">
        <v>74</v>
      </c>
      <c r="E28" t="s">
        <v>176</v>
      </c>
    </row>
    <row r="29" spans="1:5" x14ac:dyDescent="0.3">
      <c r="A29">
        <v>28</v>
      </c>
      <c r="B29">
        <v>88</v>
      </c>
      <c r="C29">
        <v>90</v>
      </c>
      <c r="D29">
        <v>89</v>
      </c>
      <c r="E29" t="s">
        <v>175</v>
      </c>
    </row>
    <row r="30" spans="1:5" x14ac:dyDescent="0.3">
      <c r="A30">
        <v>29</v>
      </c>
      <c r="B30">
        <v>62</v>
      </c>
      <c r="C30">
        <v>66</v>
      </c>
      <c r="D30">
        <v>68</v>
      </c>
      <c r="E30" t="s">
        <v>177</v>
      </c>
    </row>
    <row r="31" spans="1:5" x14ac:dyDescent="0.3">
      <c r="A31">
        <v>30</v>
      </c>
      <c r="B31">
        <v>95</v>
      </c>
      <c r="C31">
        <v>94</v>
      </c>
      <c r="D31">
        <v>96</v>
      </c>
      <c r="E31" t="s">
        <v>175</v>
      </c>
    </row>
    <row r="32" spans="1:5" x14ac:dyDescent="0.3">
      <c r="A32">
        <v>31</v>
      </c>
      <c r="B32">
        <v>81</v>
      </c>
      <c r="C32">
        <v>82</v>
      </c>
      <c r="D32">
        <v>84</v>
      </c>
      <c r="E32" t="s">
        <v>175</v>
      </c>
    </row>
    <row r="33" spans="1:5" x14ac:dyDescent="0.3">
      <c r="A33">
        <v>32</v>
      </c>
      <c r="B33">
        <v>77</v>
      </c>
      <c r="C33">
        <v>79</v>
      </c>
      <c r="D33">
        <v>78</v>
      </c>
      <c r="E33" t="s">
        <v>175</v>
      </c>
    </row>
    <row r="34" spans="1:5" x14ac:dyDescent="0.3">
      <c r="A34">
        <v>33</v>
      </c>
      <c r="B34">
        <v>91</v>
      </c>
      <c r="C34">
        <v>92</v>
      </c>
      <c r="D34">
        <v>90</v>
      </c>
      <c r="E34" t="s">
        <v>175</v>
      </c>
    </row>
    <row r="35" spans="1:5" x14ac:dyDescent="0.3">
      <c r="A35">
        <v>34</v>
      </c>
      <c r="B35">
        <v>83</v>
      </c>
      <c r="C35">
        <v>84</v>
      </c>
      <c r="D35">
        <v>85</v>
      </c>
      <c r="E35" t="s">
        <v>175</v>
      </c>
    </row>
    <row r="36" spans="1:5" x14ac:dyDescent="0.3">
      <c r="A36">
        <v>35</v>
      </c>
      <c r="B36">
        <v>70</v>
      </c>
      <c r="C36">
        <v>72</v>
      </c>
      <c r="D36">
        <v>73</v>
      </c>
      <c r="E36" t="s">
        <v>176</v>
      </c>
    </row>
    <row r="37" spans="1:5" x14ac:dyDescent="0.3">
      <c r="A37">
        <v>36</v>
      </c>
      <c r="B37">
        <v>96</v>
      </c>
      <c r="C37">
        <v>95</v>
      </c>
      <c r="D37">
        <v>97</v>
      </c>
      <c r="E37" t="s">
        <v>175</v>
      </c>
    </row>
    <row r="38" spans="1:5" x14ac:dyDescent="0.3">
      <c r="A38">
        <v>37</v>
      </c>
      <c r="B38">
        <v>80</v>
      </c>
      <c r="C38">
        <v>82</v>
      </c>
      <c r="D38">
        <v>81</v>
      </c>
      <c r="E38" t="s">
        <v>175</v>
      </c>
    </row>
    <row r="39" spans="1:5" x14ac:dyDescent="0.3">
      <c r="A39">
        <v>38</v>
      </c>
      <c r="B39">
        <v>75</v>
      </c>
      <c r="C39">
        <v>77</v>
      </c>
      <c r="D39">
        <v>78</v>
      </c>
      <c r="E39" t="s">
        <v>175</v>
      </c>
    </row>
    <row r="40" spans="1:5" x14ac:dyDescent="0.3">
      <c r="A40">
        <v>39</v>
      </c>
      <c r="B40">
        <v>89</v>
      </c>
      <c r="C40">
        <v>91</v>
      </c>
      <c r="D40">
        <v>90</v>
      </c>
      <c r="E40" t="s">
        <v>175</v>
      </c>
    </row>
    <row r="41" spans="1:5" x14ac:dyDescent="0.3">
      <c r="A41">
        <v>40</v>
      </c>
      <c r="B41">
        <v>98</v>
      </c>
      <c r="C41">
        <v>97</v>
      </c>
      <c r="D41">
        <v>99</v>
      </c>
      <c r="E41" t="s">
        <v>175</v>
      </c>
    </row>
    <row r="42" spans="1:5" x14ac:dyDescent="0.3">
      <c r="A42">
        <v>41</v>
      </c>
      <c r="B42">
        <v>82</v>
      </c>
      <c r="C42">
        <v>83</v>
      </c>
      <c r="D42">
        <v>84</v>
      </c>
      <c r="E42" t="s">
        <v>175</v>
      </c>
    </row>
    <row r="43" spans="1:5" x14ac:dyDescent="0.3">
      <c r="A43">
        <v>42</v>
      </c>
      <c r="B43">
        <v>87</v>
      </c>
      <c r="C43">
        <v>89</v>
      </c>
      <c r="D43">
        <v>88</v>
      </c>
      <c r="E43" t="s">
        <v>175</v>
      </c>
    </row>
    <row r="44" spans="1:5" x14ac:dyDescent="0.3">
      <c r="A44">
        <v>43</v>
      </c>
      <c r="B44">
        <v>72</v>
      </c>
      <c r="C44">
        <v>74</v>
      </c>
      <c r="D44">
        <v>73</v>
      </c>
      <c r="E44" t="s">
        <v>176</v>
      </c>
    </row>
    <row r="45" spans="1:5" x14ac:dyDescent="0.3">
      <c r="A45">
        <v>44</v>
      </c>
      <c r="B45">
        <v>90</v>
      </c>
      <c r="C45">
        <v>92</v>
      </c>
      <c r="D45">
        <v>91</v>
      </c>
      <c r="E45" t="s">
        <v>175</v>
      </c>
    </row>
    <row r="46" spans="1:5" x14ac:dyDescent="0.3">
      <c r="A46">
        <v>45</v>
      </c>
      <c r="B46">
        <v>92</v>
      </c>
      <c r="C46">
        <v>91</v>
      </c>
      <c r="D46">
        <v>93</v>
      </c>
      <c r="E46" t="s">
        <v>175</v>
      </c>
    </row>
    <row r="47" spans="1:5" x14ac:dyDescent="0.3">
      <c r="A47">
        <v>46</v>
      </c>
      <c r="B47">
        <v>74</v>
      </c>
      <c r="C47">
        <v>76</v>
      </c>
      <c r="D47">
        <v>75</v>
      </c>
      <c r="E47" t="s">
        <v>176</v>
      </c>
    </row>
    <row r="48" spans="1:5" x14ac:dyDescent="0.3">
      <c r="A48">
        <v>47</v>
      </c>
      <c r="B48">
        <v>85</v>
      </c>
      <c r="C48">
        <v>87</v>
      </c>
      <c r="D48">
        <v>86</v>
      </c>
      <c r="E48" t="s">
        <v>175</v>
      </c>
    </row>
    <row r="49" spans="1:5" x14ac:dyDescent="0.3">
      <c r="A49">
        <v>48</v>
      </c>
      <c r="B49">
        <v>88</v>
      </c>
      <c r="C49">
        <v>89</v>
      </c>
      <c r="D49">
        <v>90</v>
      </c>
      <c r="E49" t="s">
        <v>175</v>
      </c>
    </row>
    <row r="50" spans="1:5" x14ac:dyDescent="0.3">
      <c r="A50">
        <v>49</v>
      </c>
      <c r="B50">
        <v>63</v>
      </c>
      <c r="C50">
        <v>67</v>
      </c>
      <c r="D50">
        <v>69</v>
      </c>
      <c r="E50" t="s">
        <v>177</v>
      </c>
    </row>
    <row r="51" spans="1:5" x14ac:dyDescent="0.3">
      <c r="A51">
        <v>50</v>
      </c>
      <c r="B51">
        <v>84</v>
      </c>
      <c r="C51">
        <v>85</v>
      </c>
      <c r="D51">
        <v>87</v>
      </c>
      <c r="E51" t="s">
        <v>175</v>
      </c>
    </row>
    <row r="52" spans="1:5" x14ac:dyDescent="0.3">
      <c r="A52">
        <v>51</v>
      </c>
      <c r="B52">
        <v>83</v>
      </c>
      <c r="C52">
        <v>85</v>
      </c>
      <c r="D52">
        <v>84</v>
      </c>
      <c r="E52" t="s">
        <v>175</v>
      </c>
    </row>
    <row r="53" spans="1:5" x14ac:dyDescent="0.3">
      <c r="A53">
        <v>52</v>
      </c>
      <c r="B53">
        <v>76</v>
      </c>
      <c r="C53">
        <v>78</v>
      </c>
      <c r="D53">
        <v>77</v>
      </c>
      <c r="E53" t="s">
        <v>175</v>
      </c>
    </row>
    <row r="54" spans="1:5" x14ac:dyDescent="0.3">
      <c r="A54">
        <v>53</v>
      </c>
      <c r="B54">
        <v>91</v>
      </c>
      <c r="C54">
        <v>93</v>
      </c>
      <c r="D54">
        <v>92</v>
      </c>
      <c r="E54" t="s">
        <v>175</v>
      </c>
    </row>
    <row r="55" spans="1:5" x14ac:dyDescent="0.3">
      <c r="A55">
        <v>54</v>
      </c>
      <c r="B55">
        <v>89</v>
      </c>
      <c r="C55">
        <v>90</v>
      </c>
      <c r="D55">
        <v>91</v>
      </c>
      <c r="E55" t="s">
        <v>175</v>
      </c>
    </row>
    <row r="56" spans="1:5" x14ac:dyDescent="0.3">
      <c r="A56">
        <v>55</v>
      </c>
      <c r="B56">
        <v>68</v>
      </c>
      <c r="C56">
        <v>70</v>
      </c>
      <c r="D56">
        <v>72</v>
      </c>
      <c r="E56" t="s">
        <v>176</v>
      </c>
    </row>
    <row r="57" spans="1:5" x14ac:dyDescent="0.3">
      <c r="A57">
        <v>56</v>
      </c>
      <c r="B57">
        <v>95</v>
      </c>
      <c r="C57">
        <v>96</v>
      </c>
      <c r="D57">
        <v>94</v>
      </c>
      <c r="E57" t="s">
        <v>175</v>
      </c>
    </row>
    <row r="58" spans="1:5" x14ac:dyDescent="0.3">
      <c r="A58">
        <v>57</v>
      </c>
      <c r="B58">
        <v>82</v>
      </c>
      <c r="C58">
        <v>84</v>
      </c>
      <c r="D58">
        <v>83</v>
      </c>
      <c r="E58" t="s">
        <v>175</v>
      </c>
    </row>
    <row r="59" spans="1:5" x14ac:dyDescent="0.3">
      <c r="A59">
        <v>58</v>
      </c>
      <c r="B59">
        <v>74</v>
      </c>
      <c r="C59">
        <v>76</v>
      </c>
      <c r="D59">
        <v>75</v>
      </c>
      <c r="E59" t="s">
        <v>176</v>
      </c>
    </row>
    <row r="60" spans="1:5" x14ac:dyDescent="0.3">
      <c r="A60">
        <v>59</v>
      </c>
      <c r="B60">
        <v>93</v>
      </c>
      <c r="C60">
        <v>94</v>
      </c>
      <c r="D60">
        <v>95</v>
      </c>
      <c r="E60" t="s">
        <v>175</v>
      </c>
    </row>
    <row r="61" spans="1:5" x14ac:dyDescent="0.3">
      <c r="A61">
        <v>60</v>
      </c>
      <c r="B61">
        <v>99</v>
      </c>
      <c r="C61">
        <v>98</v>
      </c>
      <c r="D61">
        <v>99</v>
      </c>
      <c r="E61" t="s">
        <v>175</v>
      </c>
    </row>
    <row r="62" spans="1:5" x14ac:dyDescent="0.3">
      <c r="A62">
        <v>61</v>
      </c>
      <c r="B62">
        <v>80</v>
      </c>
      <c r="C62">
        <v>82</v>
      </c>
      <c r="D62">
        <v>81</v>
      </c>
      <c r="E62" t="s">
        <v>175</v>
      </c>
    </row>
    <row r="63" spans="1:5" x14ac:dyDescent="0.3">
      <c r="A63">
        <v>62</v>
      </c>
      <c r="B63">
        <v>87</v>
      </c>
      <c r="C63">
        <v>88</v>
      </c>
      <c r="D63">
        <v>89</v>
      </c>
      <c r="E63" t="s">
        <v>175</v>
      </c>
    </row>
    <row r="64" spans="1:5" x14ac:dyDescent="0.3">
      <c r="A64">
        <v>63</v>
      </c>
      <c r="B64">
        <v>72</v>
      </c>
      <c r="C64">
        <v>74</v>
      </c>
      <c r="D64">
        <v>73</v>
      </c>
      <c r="E64" t="s">
        <v>176</v>
      </c>
    </row>
    <row r="65" spans="1:5" x14ac:dyDescent="0.3">
      <c r="A65">
        <v>64</v>
      </c>
      <c r="B65">
        <v>90</v>
      </c>
      <c r="C65">
        <v>91</v>
      </c>
      <c r="D65">
        <v>92</v>
      </c>
      <c r="E65" t="s">
        <v>175</v>
      </c>
    </row>
    <row r="66" spans="1:5" x14ac:dyDescent="0.3">
      <c r="A66">
        <v>65</v>
      </c>
      <c r="B66">
        <v>69</v>
      </c>
      <c r="C66">
        <v>71</v>
      </c>
      <c r="D66">
        <v>70</v>
      </c>
      <c r="E66" t="s">
        <v>177</v>
      </c>
    </row>
    <row r="67" spans="1:5" x14ac:dyDescent="0.3">
      <c r="A67">
        <v>66</v>
      </c>
      <c r="B67">
        <v>88</v>
      </c>
      <c r="C67">
        <v>89</v>
      </c>
      <c r="D67">
        <v>90</v>
      </c>
      <c r="E67" t="s">
        <v>175</v>
      </c>
    </row>
    <row r="68" spans="1:5" x14ac:dyDescent="0.3">
      <c r="A68">
        <v>67</v>
      </c>
      <c r="B68">
        <v>92</v>
      </c>
      <c r="C68">
        <v>93</v>
      </c>
      <c r="D68">
        <v>91</v>
      </c>
      <c r="E68" t="s">
        <v>175</v>
      </c>
    </row>
    <row r="69" spans="1:5" x14ac:dyDescent="0.3">
      <c r="A69">
        <v>68</v>
      </c>
      <c r="B69">
        <v>75</v>
      </c>
      <c r="C69">
        <v>77</v>
      </c>
      <c r="D69">
        <v>76</v>
      </c>
      <c r="E69" t="s">
        <v>176</v>
      </c>
    </row>
    <row r="70" spans="1:5" x14ac:dyDescent="0.3">
      <c r="A70">
        <v>69</v>
      </c>
      <c r="B70">
        <v>94</v>
      </c>
      <c r="C70">
        <v>95</v>
      </c>
      <c r="D70">
        <v>93</v>
      </c>
      <c r="E70" t="s">
        <v>175</v>
      </c>
    </row>
    <row r="71" spans="1:5" x14ac:dyDescent="0.3">
      <c r="A71">
        <v>70</v>
      </c>
      <c r="B71">
        <v>98</v>
      </c>
      <c r="C71">
        <v>99</v>
      </c>
      <c r="D71">
        <v>97</v>
      </c>
      <c r="E71" t="s">
        <v>175</v>
      </c>
    </row>
    <row r="72" spans="1:5" x14ac:dyDescent="0.3">
      <c r="A72">
        <v>71</v>
      </c>
      <c r="B72">
        <v>81</v>
      </c>
      <c r="C72">
        <v>83</v>
      </c>
      <c r="D72">
        <v>82</v>
      </c>
      <c r="E72" t="s">
        <v>175</v>
      </c>
    </row>
    <row r="73" spans="1:5" x14ac:dyDescent="0.3">
      <c r="A73">
        <v>72</v>
      </c>
      <c r="B73">
        <v>73</v>
      </c>
      <c r="C73">
        <v>75</v>
      </c>
      <c r="D73">
        <v>74</v>
      </c>
      <c r="E73" t="s">
        <v>176</v>
      </c>
    </row>
    <row r="74" spans="1:5" x14ac:dyDescent="0.3">
      <c r="A74">
        <v>73</v>
      </c>
      <c r="B74">
        <v>89</v>
      </c>
      <c r="C74">
        <v>90</v>
      </c>
      <c r="D74">
        <v>88</v>
      </c>
      <c r="E74" t="s">
        <v>175</v>
      </c>
    </row>
    <row r="75" spans="1:5" x14ac:dyDescent="0.3">
      <c r="A75">
        <v>74</v>
      </c>
      <c r="B75">
        <v>91</v>
      </c>
      <c r="C75">
        <v>92</v>
      </c>
      <c r="D75">
        <v>93</v>
      </c>
      <c r="E75" t="s">
        <v>175</v>
      </c>
    </row>
    <row r="76" spans="1:5" x14ac:dyDescent="0.3">
      <c r="A76">
        <v>75</v>
      </c>
      <c r="B76">
        <v>77</v>
      </c>
      <c r="C76">
        <v>79</v>
      </c>
      <c r="D76">
        <v>78</v>
      </c>
      <c r="E76" t="s">
        <v>175</v>
      </c>
    </row>
    <row r="77" spans="1:5" x14ac:dyDescent="0.3">
      <c r="A77">
        <v>76</v>
      </c>
      <c r="B77">
        <v>84</v>
      </c>
      <c r="C77">
        <v>86</v>
      </c>
      <c r="D77">
        <v>85</v>
      </c>
      <c r="E77" t="s">
        <v>175</v>
      </c>
    </row>
    <row r="78" spans="1:5" x14ac:dyDescent="0.3">
      <c r="A78">
        <v>77</v>
      </c>
      <c r="B78">
        <v>75</v>
      </c>
      <c r="C78">
        <v>77</v>
      </c>
      <c r="D78">
        <v>76</v>
      </c>
      <c r="E78" t="s">
        <v>176</v>
      </c>
    </row>
    <row r="79" spans="1:5" x14ac:dyDescent="0.3">
      <c r="A79">
        <v>78</v>
      </c>
      <c r="B79">
        <v>90</v>
      </c>
      <c r="C79">
        <v>91</v>
      </c>
      <c r="D79">
        <v>92</v>
      </c>
      <c r="E79" t="s">
        <v>175</v>
      </c>
    </row>
    <row r="80" spans="1:5" x14ac:dyDescent="0.3">
      <c r="A80">
        <v>79</v>
      </c>
      <c r="B80">
        <v>82</v>
      </c>
      <c r="C80">
        <v>84</v>
      </c>
      <c r="D80">
        <v>83</v>
      </c>
      <c r="E80" t="s">
        <v>175</v>
      </c>
    </row>
    <row r="81" spans="1:5" x14ac:dyDescent="0.3">
      <c r="A81">
        <v>80</v>
      </c>
      <c r="B81">
        <v>99</v>
      </c>
      <c r="C81">
        <v>98</v>
      </c>
      <c r="D81">
        <v>99</v>
      </c>
      <c r="E81" t="s">
        <v>175</v>
      </c>
    </row>
    <row r="82" spans="1:5" x14ac:dyDescent="0.3">
      <c r="A82">
        <v>81</v>
      </c>
      <c r="B82">
        <v>71</v>
      </c>
      <c r="C82">
        <v>73</v>
      </c>
      <c r="D82">
        <v>72</v>
      </c>
      <c r="E82" t="s">
        <v>176</v>
      </c>
    </row>
    <row r="83" spans="1:5" x14ac:dyDescent="0.3">
      <c r="A83">
        <v>82</v>
      </c>
      <c r="B83">
        <v>88</v>
      </c>
      <c r="C83">
        <v>89</v>
      </c>
      <c r="D83">
        <v>90</v>
      </c>
      <c r="E83" t="s">
        <v>175</v>
      </c>
    </row>
    <row r="84" spans="1:5" x14ac:dyDescent="0.3">
      <c r="A84">
        <v>83</v>
      </c>
      <c r="B84">
        <v>80</v>
      </c>
      <c r="C84">
        <v>81</v>
      </c>
      <c r="D84">
        <v>82</v>
      </c>
      <c r="E84" t="s">
        <v>175</v>
      </c>
    </row>
    <row r="85" spans="1:5" x14ac:dyDescent="0.3">
      <c r="A85">
        <v>84</v>
      </c>
      <c r="B85">
        <v>66</v>
      </c>
      <c r="C85">
        <v>68</v>
      </c>
      <c r="D85">
        <v>69</v>
      </c>
      <c r="E85" t="s">
        <v>177</v>
      </c>
    </row>
    <row r="86" spans="1:5" x14ac:dyDescent="0.3">
      <c r="A86">
        <v>85</v>
      </c>
      <c r="B86">
        <v>94</v>
      </c>
      <c r="C86">
        <v>95</v>
      </c>
      <c r="D86">
        <v>93</v>
      </c>
      <c r="E86" t="s">
        <v>175</v>
      </c>
    </row>
    <row r="87" spans="1:5" x14ac:dyDescent="0.3">
      <c r="A87">
        <v>86</v>
      </c>
      <c r="B87">
        <v>85</v>
      </c>
      <c r="C87">
        <v>86</v>
      </c>
      <c r="D87">
        <v>87</v>
      </c>
      <c r="E87" t="s">
        <v>175</v>
      </c>
    </row>
    <row r="88" spans="1:5" x14ac:dyDescent="0.3">
      <c r="A88">
        <v>87</v>
      </c>
      <c r="B88">
        <v>74</v>
      </c>
      <c r="C88">
        <v>76</v>
      </c>
      <c r="D88">
        <v>75</v>
      </c>
      <c r="E88" t="s">
        <v>176</v>
      </c>
    </row>
    <row r="89" spans="1:5" x14ac:dyDescent="0.3">
      <c r="A89">
        <v>88</v>
      </c>
      <c r="B89">
        <v>91</v>
      </c>
      <c r="C89">
        <v>92</v>
      </c>
      <c r="D89">
        <v>90</v>
      </c>
      <c r="E89" t="s">
        <v>175</v>
      </c>
    </row>
    <row r="90" spans="1:5" x14ac:dyDescent="0.3">
      <c r="A90">
        <v>89</v>
      </c>
      <c r="B90">
        <v>83</v>
      </c>
      <c r="C90">
        <v>84</v>
      </c>
      <c r="D90">
        <v>85</v>
      </c>
      <c r="E90" t="s">
        <v>175</v>
      </c>
    </row>
    <row r="91" spans="1:5" x14ac:dyDescent="0.3">
      <c r="A91">
        <v>90</v>
      </c>
      <c r="B91">
        <v>98</v>
      </c>
      <c r="C91">
        <v>99</v>
      </c>
      <c r="D91">
        <v>98</v>
      </c>
      <c r="E91" t="s">
        <v>175</v>
      </c>
    </row>
    <row r="92" spans="1:5" x14ac:dyDescent="0.3">
      <c r="A92">
        <v>91</v>
      </c>
      <c r="B92">
        <v>72</v>
      </c>
      <c r="C92">
        <v>74</v>
      </c>
      <c r="D92">
        <v>73</v>
      </c>
      <c r="E92" t="s">
        <v>176</v>
      </c>
    </row>
    <row r="93" spans="1:5" x14ac:dyDescent="0.3">
      <c r="A93">
        <v>92</v>
      </c>
      <c r="B93">
        <v>87</v>
      </c>
      <c r="C93">
        <v>88</v>
      </c>
      <c r="D93">
        <v>89</v>
      </c>
      <c r="E93" t="s">
        <v>175</v>
      </c>
    </row>
    <row r="94" spans="1:5" x14ac:dyDescent="0.3">
      <c r="A94">
        <v>93</v>
      </c>
      <c r="B94">
        <v>89</v>
      </c>
      <c r="C94">
        <v>90</v>
      </c>
      <c r="D94">
        <v>91</v>
      </c>
      <c r="E94" t="s">
        <v>175</v>
      </c>
    </row>
    <row r="95" spans="1:5" x14ac:dyDescent="0.3">
      <c r="A95">
        <v>94</v>
      </c>
      <c r="B95">
        <v>96</v>
      </c>
      <c r="C95">
        <v>97</v>
      </c>
      <c r="D95">
        <v>95</v>
      </c>
      <c r="E95" t="s">
        <v>175</v>
      </c>
    </row>
    <row r="96" spans="1:5" x14ac:dyDescent="0.3">
      <c r="A96">
        <v>95</v>
      </c>
      <c r="B96">
        <v>67</v>
      </c>
      <c r="C96">
        <v>69</v>
      </c>
      <c r="D96">
        <v>70</v>
      </c>
      <c r="E96" t="s">
        <v>177</v>
      </c>
    </row>
    <row r="97" spans="1:5" x14ac:dyDescent="0.3">
      <c r="A97">
        <v>96</v>
      </c>
      <c r="B97">
        <v>92</v>
      </c>
      <c r="C97">
        <v>93</v>
      </c>
      <c r="D97">
        <v>94</v>
      </c>
      <c r="E97" t="s">
        <v>175</v>
      </c>
    </row>
    <row r="98" spans="1:5" x14ac:dyDescent="0.3">
      <c r="A98">
        <v>97</v>
      </c>
      <c r="B98">
        <v>84</v>
      </c>
      <c r="C98">
        <v>85</v>
      </c>
      <c r="D98">
        <v>86</v>
      </c>
      <c r="E98" t="s">
        <v>175</v>
      </c>
    </row>
    <row r="99" spans="1:5" x14ac:dyDescent="0.3">
      <c r="A99">
        <v>98</v>
      </c>
      <c r="B99">
        <v>76</v>
      </c>
      <c r="C99">
        <v>78</v>
      </c>
      <c r="D99">
        <v>77</v>
      </c>
      <c r="E99" t="s">
        <v>175</v>
      </c>
    </row>
    <row r="100" spans="1:5" x14ac:dyDescent="0.3">
      <c r="A100">
        <v>99</v>
      </c>
      <c r="B100">
        <v>95</v>
      </c>
      <c r="C100">
        <v>96</v>
      </c>
      <c r="D100">
        <v>97</v>
      </c>
      <c r="E100" t="s">
        <v>175</v>
      </c>
    </row>
    <row r="101" spans="1:5" x14ac:dyDescent="0.3">
      <c r="A101">
        <v>100</v>
      </c>
      <c r="B101">
        <v>100</v>
      </c>
      <c r="C101">
        <v>99</v>
      </c>
      <c r="D101">
        <v>100</v>
      </c>
      <c r="E101" t="s">
        <v>175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08F7F-C895-4CBF-9998-7BE135458E86}">
  <dimension ref="A1:O13"/>
  <sheetViews>
    <sheetView tabSelected="1" zoomScale="71" workbookViewId="0">
      <selection activeCell="W44" sqref="W44"/>
    </sheetView>
  </sheetViews>
  <sheetFormatPr defaultRowHeight="14.4" x14ac:dyDescent="0.3"/>
  <sheetData>
    <row r="1" spans="1:15" ht="14.4" customHeight="1" x14ac:dyDescent="0.3">
      <c r="A1" s="8" t="s">
        <v>183</v>
      </c>
      <c r="B1" s="8"/>
      <c r="C1" s="8"/>
      <c r="D1" s="8"/>
      <c r="E1" s="8"/>
      <c r="F1" s="8"/>
      <c r="G1" s="8"/>
      <c r="H1" s="8"/>
      <c r="I1" s="8"/>
      <c r="J1" s="8"/>
      <c r="K1" s="8"/>
      <c r="L1" s="8"/>
      <c r="M1" s="8"/>
      <c r="N1" s="8"/>
      <c r="O1" s="8"/>
    </row>
    <row r="2" spans="1:15" ht="14.4" customHeight="1" x14ac:dyDescent="0.3">
      <c r="A2" s="8"/>
      <c r="B2" s="8"/>
      <c r="C2" s="8"/>
      <c r="D2" s="8"/>
      <c r="E2" s="8"/>
      <c r="F2" s="8"/>
      <c r="G2" s="8"/>
      <c r="H2" s="8"/>
      <c r="I2" s="8"/>
      <c r="J2" s="8"/>
      <c r="K2" s="8"/>
      <c r="L2" s="8"/>
      <c r="M2" s="8"/>
      <c r="N2" s="8"/>
      <c r="O2" s="8"/>
    </row>
    <row r="4" spans="1:15" x14ac:dyDescent="0.3">
      <c r="A4" s="4" t="s">
        <v>185</v>
      </c>
      <c r="B4" s="6"/>
      <c r="C4" s="6"/>
      <c r="E4" s="4" t="s">
        <v>184</v>
      </c>
      <c r="F4" s="5"/>
      <c r="G4" s="5"/>
      <c r="I4" s="7" t="s">
        <v>186</v>
      </c>
      <c r="J4" s="5"/>
      <c r="K4" s="5"/>
      <c r="M4" s="7" t="s">
        <v>187</v>
      </c>
      <c r="N4" s="5"/>
      <c r="O4" s="5"/>
    </row>
    <row r="5" spans="1:15" x14ac:dyDescent="0.3">
      <c r="A5" s="6"/>
      <c r="B5" s="6"/>
      <c r="C5" s="6"/>
      <c r="E5" s="5"/>
      <c r="F5" s="5"/>
      <c r="G5" s="5"/>
      <c r="I5" s="5"/>
      <c r="J5" s="5"/>
      <c r="K5" s="5"/>
      <c r="M5" s="5"/>
      <c r="N5" s="5"/>
      <c r="O5" s="5"/>
    </row>
    <row r="6" spans="1:15" x14ac:dyDescent="0.3">
      <c r="A6" s="6"/>
      <c r="B6" s="6"/>
      <c r="C6" s="6"/>
      <c r="E6" s="5"/>
      <c r="F6" s="5"/>
      <c r="G6" s="5"/>
      <c r="I6" s="5"/>
      <c r="J6" s="5"/>
      <c r="K6" s="5"/>
      <c r="M6" s="5"/>
      <c r="N6" s="5"/>
      <c r="O6" s="5"/>
    </row>
    <row r="7" spans="1:15" x14ac:dyDescent="0.3">
      <c r="A7" s="6"/>
      <c r="B7" s="6"/>
      <c r="C7" s="6"/>
      <c r="E7" s="5"/>
      <c r="F7" s="5"/>
      <c r="G7" s="5"/>
      <c r="I7" s="5"/>
      <c r="J7" s="5"/>
      <c r="K7" s="5"/>
      <c r="M7" s="5"/>
      <c r="N7" s="5"/>
      <c r="O7" s="5"/>
    </row>
    <row r="13" spans="1:15" ht="18" x14ac:dyDescent="0.35">
      <c r="I13" s="3"/>
    </row>
  </sheetData>
  <mergeCells count="5">
    <mergeCell ref="E4:G7"/>
    <mergeCell ref="A4:C7"/>
    <mergeCell ref="I4:K7"/>
    <mergeCell ref="A1:O2"/>
    <mergeCell ref="M4: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AC2B3-36E5-4879-90B2-FE4825D0F15A}">
  <dimension ref="A3:B18"/>
  <sheetViews>
    <sheetView workbookViewId="0">
      <selection activeCell="A4" sqref="A4"/>
      <pivotSelection pane="bottomRight" showHeader="1" activeRow="10" click="1" r:id="rId1">
        <pivotArea dataOnly="0" labelOnly="1" fieldPosition="0">
          <references count="1">
            <reference field="2" count="0"/>
          </references>
        </pivotArea>
      </pivotSelection>
    </sheetView>
  </sheetViews>
  <sheetFormatPr defaultRowHeight="14.4" x14ac:dyDescent="0.3"/>
  <cols>
    <col min="1" max="1" width="33.21875" bestFit="1" customWidth="1"/>
    <col min="2" max="2" width="19.5546875" bestFit="1" customWidth="1"/>
  </cols>
  <sheetData>
    <row r="3" spans="1:2" x14ac:dyDescent="0.3">
      <c r="A3" s="1" t="s">
        <v>178</v>
      </c>
      <c r="B3" t="s">
        <v>180</v>
      </c>
    </row>
    <row r="4" spans="1:2" x14ac:dyDescent="0.3">
      <c r="A4" s="2" t="s">
        <v>70</v>
      </c>
      <c r="B4">
        <v>8</v>
      </c>
    </row>
    <row r="5" spans="1:2" x14ac:dyDescent="0.3">
      <c r="A5" s="2" t="s">
        <v>51</v>
      </c>
      <c r="B5">
        <v>8</v>
      </c>
    </row>
    <row r="6" spans="1:2" x14ac:dyDescent="0.3">
      <c r="A6" s="2" t="s">
        <v>74</v>
      </c>
      <c r="B6">
        <v>4</v>
      </c>
    </row>
    <row r="7" spans="1:2" x14ac:dyDescent="0.3">
      <c r="A7" s="2" t="s">
        <v>76</v>
      </c>
      <c r="B7">
        <v>7</v>
      </c>
    </row>
    <row r="8" spans="1:2" x14ac:dyDescent="0.3">
      <c r="A8" s="2" t="s">
        <v>64</v>
      </c>
      <c r="B8">
        <v>6</v>
      </c>
    </row>
    <row r="9" spans="1:2" x14ac:dyDescent="0.3">
      <c r="A9" s="2" t="s">
        <v>68</v>
      </c>
      <c r="B9">
        <v>7</v>
      </c>
    </row>
    <row r="10" spans="1:2" x14ac:dyDescent="0.3">
      <c r="A10" s="2" t="s">
        <v>72</v>
      </c>
      <c r="B10">
        <v>8</v>
      </c>
    </row>
    <row r="11" spans="1:2" x14ac:dyDescent="0.3">
      <c r="A11" s="2" t="s">
        <v>59</v>
      </c>
      <c r="B11">
        <v>8</v>
      </c>
    </row>
    <row r="12" spans="1:2" x14ac:dyDescent="0.3">
      <c r="A12" s="2" t="s">
        <v>66</v>
      </c>
      <c r="B12">
        <v>7</v>
      </c>
    </row>
    <row r="13" spans="1:2" x14ac:dyDescent="0.3">
      <c r="A13" s="2" t="s">
        <v>62</v>
      </c>
      <c r="B13">
        <v>6</v>
      </c>
    </row>
    <row r="14" spans="1:2" x14ac:dyDescent="0.3">
      <c r="A14" s="2" t="s">
        <v>79</v>
      </c>
      <c r="B14">
        <v>7</v>
      </c>
    </row>
    <row r="15" spans="1:2" x14ac:dyDescent="0.3">
      <c r="A15" s="2" t="s">
        <v>53</v>
      </c>
      <c r="B15">
        <v>8</v>
      </c>
    </row>
    <row r="16" spans="1:2" x14ac:dyDescent="0.3">
      <c r="A16" s="2" t="s">
        <v>55</v>
      </c>
      <c r="B16">
        <v>8</v>
      </c>
    </row>
    <row r="17" spans="1:2" x14ac:dyDescent="0.3">
      <c r="A17" s="2" t="s">
        <v>57</v>
      </c>
      <c r="B17">
        <v>8</v>
      </c>
    </row>
    <row r="18" spans="1:2" x14ac:dyDescent="0.3">
      <c r="A18" s="2" t="s">
        <v>179</v>
      </c>
      <c r="B18">
        <v>100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86FB3-3EAB-4EE9-84C5-13D206435119}">
  <dimension ref="A3:B24"/>
  <sheetViews>
    <sheetView workbookViewId="0">
      <selection activeCell="A12" sqref="A12"/>
    </sheetView>
  </sheetViews>
  <sheetFormatPr defaultRowHeight="14.4" x14ac:dyDescent="0.3"/>
  <cols>
    <col min="1" max="1" width="23" bestFit="1" customWidth="1"/>
    <col min="2" max="2" width="13.5546875" bestFit="1" customWidth="1"/>
  </cols>
  <sheetData>
    <row r="3" spans="1:2" x14ac:dyDescent="0.3">
      <c r="A3" s="1" t="s">
        <v>178</v>
      </c>
      <c r="B3" t="s">
        <v>181</v>
      </c>
    </row>
    <row r="4" spans="1:2" x14ac:dyDescent="0.3">
      <c r="A4" s="2" t="s">
        <v>26</v>
      </c>
      <c r="B4">
        <v>1</v>
      </c>
    </row>
    <row r="5" spans="1:2" x14ac:dyDescent="0.3">
      <c r="A5" s="2" t="s">
        <v>40</v>
      </c>
      <c r="B5">
        <v>1</v>
      </c>
    </row>
    <row r="6" spans="1:2" x14ac:dyDescent="0.3">
      <c r="A6" s="2" t="s">
        <v>13</v>
      </c>
      <c r="B6">
        <v>1</v>
      </c>
    </row>
    <row r="7" spans="1:2" x14ac:dyDescent="0.3">
      <c r="A7" s="2" t="s">
        <v>23</v>
      </c>
      <c r="B7">
        <v>1</v>
      </c>
    </row>
    <row r="8" spans="1:2" x14ac:dyDescent="0.3">
      <c r="A8" s="2" t="s">
        <v>41</v>
      </c>
      <c r="B8">
        <v>1</v>
      </c>
    </row>
    <row r="9" spans="1:2" x14ac:dyDescent="0.3">
      <c r="A9" s="2" t="s">
        <v>4</v>
      </c>
      <c r="B9">
        <v>1</v>
      </c>
    </row>
    <row r="10" spans="1:2" x14ac:dyDescent="0.3">
      <c r="A10" s="2" t="s">
        <v>28</v>
      </c>
      <c r="B10">
        <v>1</v>
      </c>
    </row>
    <row r="11" spans="1:2" x14ac:dyDescent="0.3">
      <c r="A11" s="2" t="s">
        <v>30</v>
      </c>
      <c r="B11">
        <v>1</v>
      </c>
    </row>
    <row r="12" spans="1:2" x14ac:dyDescent="0.3">
      <c r="A12" s="2" t="s">
        <v>39</v>
      </c>
      <c r="B12">
        <v>1</v>
      </c>
    </row>
    <row r="13" spans="1:2" x14ac:dyDescent="0.3">
      <c r="A13" s="2" t="s">
        <v>19</v>
      </c>
      <c r="B13">
        <v>1</v>
      </c>
    </row>
    <row r="14" spans="1:2" x14ac:dyDescent="0.3">
      <c r="A14" s="2" t="s">
        <v>18</v>
      </c>
      <c r="B14">
        <v>1</v>
      </c>
    </row>
    <row r="15" spans="1:2" x14ac:dyDescent="0.3">
      <c r="A15" s="2" t="s">
        <v>43</v>
      </c>
      <c r="B15">
        <v>1</v>
      </c>
    </row>
    <row r="16" spans="1:2" x14ac:dyDescent="0.3">
      <c r="A16" s="2" t="s">
        <v>32</v>
      </c>
      <c r="B16">
        <v>1</v>
      </c>
    </row>
    <row r="17" spans="1:2" x14ac:dyDescent="0.3">
      <c r="A17" s="2" t="s">
        <v>10</v>
      </c>
      <c r="B17">
        <v>1</v>
      </c>
    </row>
    <row r="18" spans="1:2" x14ac:dyDescent="0.3">
      <c r="A18" s="2" t="s">
        <v>15</v>
      </c>
      <c r="B18">
        <v>1</v>
      </c>
    </row>
    <row r="19" spans="1:2" x14ac:dyDescent="0.3">
      <c r="A19" s="2" t="s">
        <v>21</v>
      </c>
      <c r="B19">
        <v>1</v>
      </c>
    </row>
    <row r="20" spans="1:2" x14ac:dyDescent="0.3">
      <c r="A20" s="2" t="s">
        <v>7</v>
      </c>
      <c r="B20">
        <v>1</v>
      </c>
    </row>
    <row r="21" spans="1:2" x14ac:dyDescent="0.3">
      <c r="A21" s="2" t="s">
        <v>35</v>
      </c>
      <c r="B21">
        <v>1</v>
      </c>
    </row>
    <row r="22" spans="1:2" x14ac:dyDescent="0.3">
      <c r="A22" s="2" t="s">
        <v>44</v>
      </c>
      <c r="B22">
        <v>1</v>
      </c>
    </row>
    <row r="23" spans="1:2" x14ac:dyDescent="0.3">
      <c r="A23" s="2" t="s">
        <v>37</v>
      </c>
      <c r="B23">
        <v>1</v>
      </c>
    </row>
    <row r="24" spans="1:2" x14ac:dyDescent="0.3">
      <c r="A24" s="2" t="s">
        <v>179</v>
      </c>
      <c r="B24">
        <v>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78B81-323A-44CC-8374-EF0BFCE701F1}">
  <dimension ref="A3:B24"/>
  <sheetViews>
    <sheetView topLeftCell="A19" workbookViewId="0">
      <selection activeCell="B14" sqref="B14"/>
    </sheetView>
  </sheetViews>
  <sheetFormatPr defaultRowHeight="14.4" x14ac:dyDescent="0.3"/>
  <cols>
    <col min="1" max="1" width="12.44140625" bestFit="1" customWidth="1"/>
    <col min="2" max="2" width="19.5546875" bestFit="1" customWidth="1"/>
  </cols>
  <sheetData>
    <row r="3" spans="1:2" x14ac:dyDescent="0.3">
      <c r="A3" s="1" t="s">
        <v>178</v>
      </c>
      <c r="B3" t="s">
        <v>180</v>
      </c>
    </row>
    <row r="4" spans="1:2" x14ac:dyDescent="0.3">
      <c r="A4" s="2">
        <v>101</v>
      </c>
      <c r="B4">
        <v>5</v>
      </c>
    </row>
    <row r="5" spans="1:2" x14ac:dyDescent="0.3">
      <c r="A5" s="2">
        <v>102</v>
      </c>
      <c r="B5">
        <v>5</v>
      </c>
    </row>
    <row r="6" spans="1:2" x14ac:dyDescent="0.3">
      <c r="A6" s="2">
        <v>103</v>
      </c>
      <c r="B6">
        <v>5</v>
      </c>
    </row>
    <row r="7" spans="1:2" x14ac:dyDescent="0.3">
      <c r="A7" s="2">
        <v>104</v>
      </c>
      <c r="B7">
        <v>5</v>
      </c>
    </row>
    <row r="8" spans="1:2" x14ac:dyDescent="0.3">
      <c r="A8" s="2">
        <v>105</v>
      </c>
      <c r="B8">
        <v>5</v>
      </c>
    </row>
    <row r="9" spans="1:2" x14ac:dyDescent="0.3">
      <c r="A9" s="2">
        <v>106</v>
      </c>
      <c r="B9">
        <v>5</v>
      </c>
    </row>
    <row r="10" spans="1:2" x14ac:dyDescent="0.3">
      <c r="A10" s="2">
        <v>107</v>
      </c>
      <c r="B10">
        <v>5</v>
      </c>
    </row>
    <row r="11" spans="1:2" x14ac:dyDescent="0.3">
      <c r="A11" s="2">
        <v>108</v>
      </c>
      <c r="B11">
        <v>5</v>
      </c>
    </row>
    <row r="12" spans="1:2" x14ac:dyDescent="0.3">
      <c r="A12" s="2">
        <v>109</v>
      </c>
      <c r="B12">
        <v>5</v>
      </c>
    </row>
    <row r="13" spans="1:2" x14ac:dyDescent="0.3">
      <c r="A13" s="2">
        <v>110</v>
      </c>
      <c r="B13">
        <v>5</v>
      </c>
    </row>
    <row r="14" spans="1:2" x14ac:dyDescent="0.3">
      <c r="A14" s="2">
        <v>111</v>
      </c>
      <c r="B14">
        <v>5</v>
      </c>
    </row>
    <row r="15" spans="1:2" x14ac:dyDescent="0.3">
      <c r="A15" s="2">
        <v>112</v>
      </c>
      <c r="B15">
        <v>5</v>
      </c>
    </row>
    <row r="16" spans="1:2" x14ac:dyDescent="0.3">
      <c r="A16" s="2">
        <v>113</v>
      </c>
      <c r="B16">
        <v>5</v>
      </c>
    </row>
    <row r="17" spans="1:2" x14ac:dyDescent="0.3">
      <c r="A17" s="2">
        <v>114</v>
      </c>
      <c r="B17">
        <v>5</v>
      </c>
    </row>
    <row r="18" spans="1:2" x14ac:dyDescent="0.3">
      <c r="A18" s="2">
        <v>115</v>
      </c>
      <c r="B18">
        <v>5</v>
      </c>
    </row>
    <row r="19" spans="1:2" x14ac:dyDescent="0.3">
      <c r="A19" s="2">
        <v>116</v>
      </c>
      <c r="B19">
        <v>5</v>
      </c>
    </row>
    <row r="20" spans="1:2" x14ac:dyDescent="0.3">
      <c r="A20" s="2">
        <v>117</v>
      </c>
      <c r="B20">
        <v>5</v>
      </c>
    </row>
    <row r="21" spans="1:2" x14ac:dyDescent="0.3">
      <c r="A21" s="2">
        <v>118</v>
      </c>
      <c r="B21">
        <v>5</v>
      </c>
    </row>
    <row r="22" spans="1:2" x14ac:dyDescent="0.3">
      <c r="A22" s="2">
        <v>119</v>
      </c>
      <c r="B22">
        <v>5</v>
      </c>
    </row>
    <row r="23" spans="1:2" x14ac:dyDescent="0.3">
      <c r="A23" s="2">
        <v>120</v>
      </c>
      <c r="B23">
        <v>5</v>
      </c>
    </row>
    <row r="24" spans="1:2" x14ac:dyDescent="0.3">
      <c r="A24" s="2" t="s">
        <v>179</v>
      </c>
      <c r="B24">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87D96-6A04-4477-B60B-446AE5AC732D}">
  <dimension ref="A3:B7"/>
  <sheetViews>
    <sheetView workbookViewId="0">
      <selection activeCell="M19" sqref="M19"/>
    </sheetView>
  </sheetViews>
  <sheetFormatPr defaultRowHeight="14.4" x14ac:dyDescent="0.3"/>
  <cols>
    <col min="1" max="1" width="12.44140625" bestFit="1" customWidth="1"/>
    <col min="2" max="2" width="19.5546875" bestFit="1" customWidth="1"/>
  </cols>
  <sheetData>
    <row r="3" spans="1:2" x14ac:dyDescent="0.3">
      <c r="A3" s="1" t="s">
        <v>178</v>
      </c>
      <c r="B3" t="s">
        <v>180</v>
      </c>
    </row>
    <row r="4" spans="1:2" x14ac:dyDescent="0.3">
      <c r="A4" s="2" t="s">
        <v>176</v>
      </c>
      <c r="B4">
        <v>17</v>
      </c>
    </row>
    <row r="5" spans="1:2" x14ac:dyDescent="0.3">
      <c r="A5" s="2" t="s">
        <v>177</v>
      </c>
      <c r="B5">
        <v>7</v>
      </c>
    </row>
    <row r="6" spans="1:2" x14ac:dyDescent="0.3">
      <c r="A6" s="2" t="s">
        <v>175</v>
      </c>
      <c r="B6">
        <v>76</v>
      </c>
    </row>
    <row r="7" spans="1:2" x14ac:dyDescent="0.3">
      <c r="A7" s="2" t="s">
        <v>179</v>
      </c>
      <c r="B7">
        <v>100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79D8-22CE-4700-BAFB-7CFFA4EEB983}">
  <dimension ref="A3:B7"/>
  <sheetViews>
    <sheetView workbookViewId="0">
      <selection activeCell="M22" sqref="M22"/>
    </sheetView>
  </sheetViews>
  <sheetFormatPr defaultRowHeight="14.4" x14ac:dyDescent="0.3"/>
  <cols>
    <col min="1" max="1" width="12.44140625" bestFit="1" customWidth="1"/>
    <col min="2" max="2" width="22.88671875" bestFit="1" customWidth="1"/>
  </cols>
  <sheetData>
    <row r="3" spans="1:2" x14ac:dyDescent="0.3">
      <c r="A3" s="1" t="s">
        <v>178</v>
      </c>
      <c r="B3" t="s">
        <v>182</v>
      </c>
    </row>
    <row r="4" spans="1:2" x14ac:dyDescent="0.3">
      <c r="A4" s="2" t="s">
        <v>176</v>
      </c>
      <c r="B4">
        <v>72.235294117647058</v>
      </c>
    </row>
    <row r="5" spans="1:2" x14ac:dyDescent="0.3">
      <c r="A5" s="2" t="s">
        <v>177</v>
      </c>
      <c r="B5">
        <v>64.571428571428569</v>
      </c>
    </row>
    <row r="6" spans="1:2" x14ac:dyDescent="0.3">
      <c r="A6" s="2" t="s">
        <v>175</v>
      </c>
      <c r="B6">
        <v>87.328947368421055</v>
      </c>
    </row>
    <row r="7" spans="1:2" x14ac:dyDescent="0.3">
      <c r="A7" s="2" t="s">
        <v>179</v>
      </c>
      <c r="B7">
        <v>83.17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643CA1-C2E7-4E48-87D4-21F7C3C6E7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job_details</vt:lpstr>
      <vt:lpstr>candidate_details</vt:lpstr>
      <vt:lpstr>Sheet4</vt:lpstr>
      <vt:lpstr>Merged_Data</vt:lpstr>
      <vt:lpstr>candidate_skills</vt:lpstr>
      <vt:lpstr>interview_results</vt:lpstr>
      <vt:lpstr>Dashboard</vt:lpstr>
      <vt:lpstr>PT_College</vt:lpstr>
      <vt:lpstr>PT_JobRole</vt:lpstr>
      <vt:lpstr>PT_JobID</vt:lpstr>
      <vt:lpstr>PT_FinalResult</vt:lpstr>
      <vt:lpstr>PT_AvgAptitude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T</dc:creator>
  <cp:lastModifiedBy>MAYURI T</cp:lastModifiedBy>
  <dcterms:created xsi:type="dcterms:W3CDTF">2026-07-16T05:39:31Z</dcterms:created>
  <dcterms:modified xsi:type="dcterms:W3CDTF">2026-07-23T05:16:49Z</dcterms:modified>
</cp:coreProperties>
</file>